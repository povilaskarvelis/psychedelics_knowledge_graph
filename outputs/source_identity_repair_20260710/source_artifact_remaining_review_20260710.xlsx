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39b958916d340f0" /></Relationships>
</file>

<file path=xl/workbook.xml><?xml version="1.0" encoding="utf-8"?>
<x:workbook xmlns:x="http://schemas.openxmlformats.org/spreadsheetml/2006/main">
  <x:sheets>
    <x:sheet xmlns:r="http://schemas.openxmlformats.org/officeDocument/2006/relationships" name="Summary" sheetId="1" r:id="R9945898a42244347"/>
    <x:sheet xmlns:r="http://schemas.openxmlformats.org/officeDocument/2006/relationships" name="Public abstract only" sheetId="2" r:id="Rde1a2a17e40f4d37"/>
    <x:sheet xmlns:r="http://schemas.openxmlformats.org/officeDocument/2006/relationships" name="Other abstract only" sheetId="3" r:id="Ra3f3f9fabcd446f2"/>
    <x:sheet xmlns:r="http://schemas.openxmlformats.org/officeDocument/2006/relationships" name="Pipeline fulltext repairs" sheetId="4" r:id="R6d9adf7c8cde4791"/>
    <x:sheet xmlns:r="http://schemas.openxmlformats.org/officeDocument/2006/relationships" name="Excluded no download" sheetId="5" r:id="R76ce891993e4490f"/>
    <x:sheet xmlns:r="http://schemas.openxmlformats.org/officeDocument/2006/relationships" name="Imported verified" sheetId="6" r:id="R326cd50951c2472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6"/>
      <x:color rgb="FFFFFFFF"/>
      <x:name val="Carlito"/>
    </x:font>
    <x:font>
      <x:b/>
      <x:sz val="11"/>
      <x:color rgb="FFFFFFFF"/>
      <x:name val="Carlito"/>
    </x:font>
  </x:fonts>
  <x:fills count="4">
    <x:fill>
      <x:patternFill patternType="none"/>
    </x:fill>
    <x:fill>
      <x:patternFill patternType="gray125"/>
    </x:fill>
    <x:fill>
      <x:patternFill patternType="solid">
        <x:fgColor rgb="FF0F3D4A"/>
      </x:patternFill>
    </x:fill>
    <x:fill>
      <x:patternFill patternType="solid">
        <x:fgColor rgb="FF155E75"/>
      </x:patternFill>
    </x:fill>
  </x:fills>
  <x:borders count="13">
    <x:border/>
    <x:border>
      <x:right style="thin">
        <x:color rgb="FFD6E2E7"/>
      </x:right>
      <x:bottom style="thin">
        <x:color rgb="FFD6E2E7"/>
      </x:bottom>
    </x:border>
    <x:border>
      <x:left style="thin">
        <x:color rgb="FFD6E2E7"/>
      </x:left>
      <x:right style="thin">
        <x:color rgb="FFD6E2E7"/>
      </x:right>
      <x:bottom style="thin">
        <x:color rgb="FFD6E2E7"/>
      </x:bottom>
    </x:border>
    <x:border>
      <x:left style="thin">
        <x:color rgb="FFD6E2E7"/>
      </x:left>
      <x:bottom style="thin">
        <x:color rgb="FFD6E2E7"/>
      </x:bottom>
    </x:border>
    <x:border>
      <x:right style="thin">
        <x:color rgb="FFD6E2E7"/>
      </x:right>
      <x:top style="thin">
        <x:color rgb="FFD6E2E7"/>
      </x:top>
      <x:bottom style="thin">
        <x:color rgb="FFD6E2E7"/>
      </x:bottom>
    </x:border>
    <x:border>
      <x:left style="thin">
        <x:color rgb="FFD6E2E7"/>
      </x:left>
      <x:right style="thin">
        <x:color rgb="FFD6E2E7"/>
      </x:right>
      <x:top style="thin">
        <x:color rgb="FFD6E2E7"/>
      </x:top>
      <x:bottom style="thin">
        <x:color rgb="FFD6E2E7"/>
      </x:bottom>
    </x:border>
    <x:border>
      <x:left style="thin">
        <x:color rgb="FFD6E2E7"/>
      </x:left>
      <x:top style="thin">
        <x:color rgb="FFD6E2E7"/>
      </x:top>
      <x:bottom style="thin">
        <x:color rgb="FFD6E2E7"/>
      </x:bottom>
    </x:border>
    <x:border>
      <x:right style="thin">
        <x:color rgb="FFD6E2E7"/>
      </x:right>
      <x:top style="thin">
        <x:color rgb="FFD6E2E7"/>
      </x:top>
    </x:border>
    <x:border>
      <x:left style="thin">
        <x:color rgb="FFD6E2E7"/>
      </x:left>
      <x:right style="thin">
        <x:color rgb="FFD6E2E7"/>
      </x:right>
      <x:top style="thin">
        <x:color rgb="FFD6E2E7"/>
      </x:top>
    </x:border>
    <x:border>
      <x:left style="thin">
        <x:color rgb="FFD6E2E7"/>
      </x:left>
      <x:top style="thin">
        <x:color rgb="FFD6E2E7"/>
      </x:top>
    </x:border>
    <x:border>
      <x:left style="thin">
        <x:color rgb="FF0E4F63"/>
      </x:left>
      <x:top style="thin">
        <x:color rgb="FF0E4F63"/>
      </x:top>
      <x:bottom style="thin">
        <x:color rgb="FF0E4F63"/>
      </x:bottom>
    </x:border>
    <x:border>
      <x:top style="thin">
        <x:color rgb="FF0E4F63"/>
      </x:top>
      <x:bottom style="thin">
        <x:color rgb="FF0E4F63"/>
      </x:bottom>
    </x:border>
    <x:border>
      <x:right style="thin">
        <x:color rgb="FF0E4F63"/>
      </x:right>
      <x:top style="thin">
        <x:color rgb="FF0E4F63"/>
      </x:top>
      <x:bottom style="thin">
        <x:color rgb="FF0E4F63"/>
      </x:bottom>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0" xfId="0" applyNumberFormat="1" applyFont="1" applyFill="1" applyBorder="1" applyAlignment="1">
      <x:alignment vertical="center" wrapText="1"/>
    </x:xf>
    <x:xf numFmtId="0" fontId="2" fillId="3" borderId="11" xfId="0" applyNumberFormat="1" applyFont="1" applyFill="1" applyBorder="1" applyAlignment="1">
      <x:alignment vertical="center" wrapText="1"/>
    </x:xf>
    <x:xf numFmtId="0" fontId="2" fillId="3" borderId="12"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f3784ed9724ee4" /><Relationship Type="http://schemas.openxmlformats.org/officeDocument/2006/relationships/theme" Target="/xl/theme/theme1.xml" Id="R7da1ed57a4254d85" /><Relationship Type="http://schemas.openxmlformats.org/officeDocument/2006/relationships/sharedStrings" Target="/xl/sharedStrings.xml" Id="R700622fe608b42d8" /><Relationship Type="http://schemas.openxmlformats.org/officeDocument/2006/relationships/worksheet" Target="/xl/worksheets/sheet1.xml" Id="R9945898a42244347" /><Relationship Type="http://schemas.openxmlformats.org/officeDocument/2006/relationships/worksheet" Target="/xl/worksheets/sheet2.xml" Id="Rde1a2a17e40f4d37" /><Relationship Type="http://schemas.openxmlformats.org/officeDocument/2006/relationships/worksheet" Target="/xl/worksheets/sheet3.xml" Id="Ra3f3f9fabcd446f2" /><Relationship Type="http://schemas.openxmlformats.org/officeDocument/2006/relationships/worksheet" Target="/xl/worksheets/sheet4.xml" Id="R6d9adf7c8cde4791" /><Relationship Type="http://schemas.openxmlformats.org/officeDocument/2006/relationships/worksheet" Target="/xl/worksheets/sheet5.xml" Id="R76ce891993e4490f" /><Relationship Type="http://schemas.openxmlformats.org/officeDocument/2006/relationships/worksheet" Target="/xl/worksheets/sheet6.xml" Id="R326cd50951c24725" /></Relationships>
</file>

<file path=xl/tables/table1.xml><?xml version="1.0" encoding="utf-8"?>
<x:table xmlns:x="http://schemas.openxmlformats.org/spreadsheetml/2006/main" id="1" name="PublicAbstractOnlyTable" displayName="PublicAbstractOnlyTable" ref="A1:J16" headerRowCount="1" totalsRowCount="0" totalsRowShown="0">
  <x:autoFilter ref="A1:J16"/>
  <x:tableColumns count="10">
    <x:tableColumn id="1" name="DOI"/>
    <x:tableColumn id="2" name="Title"/>
    <x:tableColumn id="3" name="Paper type"/>
    <x:tableColumn id="4" name="KG findings"/>
    <x:tableColumn id="5" name="Priority"/>
    <x:tableColumn id="6" name="Access status"/>
    <x:tableColumn id="7" name="Checked"/>
    <x:tableColumn id="8" name="Full-text action"/>
    <x:tableColumn id="9" name="Why no repair"/>
    <x:tableColumn id="10" name="DOI URL"/>
  </x:tableColumns>
  <x:tableStyleInfo name="TableStyleMedium2" showFirstColumn="0" showLastColumn="0" showRowStripes="1" showColumnStripes="0"/>
</x:table>
</file>

<file path=xl/tables/table2.xml><?xml version="1.0" encoding="utf-8"?>
<x:table xmlns:x="http://schemas.openxmlformats.org/spreadsheetml/2006/main" id="2" name="OtherAbstractOnlyTable" displayName="OtherAbstractOnlyTable" ref="A1:H138" headerRowCount="1" totalsRowCount="0" totalsRowShown="0">
  <x:autoFilter ref="A1:H138"/>
  <x:tableColumns count="8">
    <x:tableColumn id="1" name="DOI"/>
    <x:tableColumn id="2" name="Title"/>
    <x:tableColumn id="3" name="Paper type"/>
    <x:tableColumn id="4" name="KG findings"/>
    <x:tableColumn id="5" name="Priority"/>
    <x:tableColumn id="6" name="Artifact action"/>
    <x:tableColumn id="7" name="Why no repair"/>
    <x:tableColumn id="8" name="DOI URL"/>
  </x:tableColumns>
  <x:tableStyleInfo name="TableStyleMedium2" showFirstColumn="0" showLastColumn="0" showRowStripes="1" showColumnStripes="0"/>
</x:table>
</file>

<file path=xl/tables/table3.xml><?xml version="1.0" encoding="utf-8"?>
<x:table xmlns:x="http://schemas.openxmlformats.org/spreadsheetml/2006/main" id="3" name="PipelineFulltextRepairsTable" displayName="PipelineFulltextRepairsTable" ref="A1:J46" headerRowCount="1" totalsRowCount="0" totalsRowShown="0">
  <x:autoFilter ref="A1:J46"/>
  <x:tableColumns count="10">
    <x:tableColumn id="1" name="DOI"/>
    <x:tableColumn id="2" name="Title"/>
    <x:tableColumn id="3" name="Paper type"/>
    <x:tableColumn id="4" name="KG findings"/>
    <x:tableColumn id="5" name="Priority"/>
    <x:tableColumn id="6" name="Pipeline route"/>
    <x:tableColumn id="7" name="Candidate URL"/>
    <x:tableColumn id="8" name="Artifact problem"/>
    <x:tableColumn id="9" name="Required identity fix"/>
    <x:tableColumn id="10" name="DOI URL"/>
  </x:tableColumns>
  <x:tableStyleInfo name="TableStyleMedium2" showFirstColumn="0" showLastColumn="0" showRowStripes="1" showColumnStripes="0"/>
</x:table>
</file>

<file path=xl/tables/table4.xml><?xml version="1.0" encoding="utf-8"?>
<x:table xmlns:x="http://schemas.openxmlformats.org/spreadsheetml/2006/main" id="4" name="ExcludedNoDownloadTable" displayName="ExcludedNoDownloadTable" ref="A1:H234" headerRowCount="1" totalsRowCount="0" totalsRowShown="0">
  <x:autoFilter ref="A1:H234"/>
  <x:tableColumns count="8">
    <x:tableColumn id="1" name="DOI"/>
    <x:tableColumn id="2" name="Title"/>
    <x:tableColumn id="3" name="Paper type"/>
    <x:tableColumn id="4" name="Former KG findings"/>
    <x:tableColumn id="5" name="Final action"/>
    <x:tableColumn id="6" name="Why no repair"/>
    <x:tableColumn id="7" name="Old artifact problem"/>
    <x:tableColumn id="8" name="DOI URL"/>
  </x:tableColumns>
  <x:tableStyleInfo name="TableStyleMedium2" showFirstColumn="0" showLastColumn="0" showRowStripes="1" showColumnStripes="0"/>
</x:table>
</file>

<file path=xl/tables/table5.xml><?xml version="1.0" encoding="utf-8"?>
<x:table xmlns:x="http://schemas.openxmlformats.org/spreadsheetml/2006/main" id="5" name="ImportedVerifiedTable" displayName="ImportedVerifiedTable" ref="A1:H4" headerRowCount="1" totalsRowCount="0" totalsRowShown="0">
  <x:autoFilter ref="A1:H4"/>
  <x:tableColumns count="8">
    <x:tableColumn id="1" name="DOI"/>
    <x:tableColumn id="2" name="Title"/>
    <x:tableColumn id="3" name="PDF file"/>
    <x:tableColumn id="4" name="Import match"/>
    <x:tableColumn id="5" name="Identity status"/>
    <x:tableColumn id="6" name="Identity basis"/>
    <x:tableColumn id="7" name="Conversion backend"/>
    <x:tableColumn id="8" name="Artifact pat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3dc81fe9e584d8c" /></Relationships>
</file>

<file path=xl/worksheets/_rels/sheet3.xml.rels>&#65279;<?xml version="1.0" encoding="utf-8"?><Relationships xmlns="http://schemas.openxmlformats.org/package/2006/relationships"><Relationship Type="http://schemas.openxmlformats.org/officeDocument/2006/relationships/table" Target="/xl/tables/table2.xml" Id="Rcfdd986adddc4314" /></Relationships>
</file>

<file path=xl/worksheets/_rels/sheet4.xml.rels>&#65279;<?xml version="1.0" encoding="utf-8"?><Relationships xmlns="http://schemas.openxmlformats.org/package/2006/relationships"><Relationship Type="http://schemas.openxmlformats.org/officeDocument/2006/relationships/table" Target="/xl/tables/table3.xml" Id="R1dcb2869835c4d33" /></Relationships>
</file>

<file path=xl/worksheets/_rels/sheet5.xml.rels>&#65279;<?xml version="1.0" encoding="utf-8"?><Relationships xmlns="http://schemas.openxmlformats.org/package/2006/relationships"><Relationship Type="http://schemas.openxmlformats.org/officeDocument/2006/relationships/table" Target="/xl/tables/table4.xml" Id="Rbd76ecd8bdf14bf6" /></Relationships>
</file>

<file path=xl/worksheets/_rels/sheet6.xml.rels>&#65279;<?xml version="1.0" encoding="utf-8"?><Relationships xmlns="http://schemas.openxmlformats.org/package/2006/relationships"><Relationship Type="http://schemas.openxmlformats.org/officeDocument/2006/relationships/table" Target="/xl/tables/table5.xml" Id="R949e16d2f5de4b20" /></Relationships>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14" hidden="0" customWidth="1"/>
    <x:col min="3" max="3" width="70" hidden="0" customWidth="1"/>
    <x:col min="4" max="4" width="30" hidden="0" customWidth="1"/>
  </x:cols>
  <x:sheetData>
    <x:row r="1" ht="34" customHeight="1">
      <x:c r="A1" s="3" t="str">
        <x:v>Source artifact cleanup - remaining review</x:v>
      </x:c>
      <x:c r="B1" s="3"/>
      <x:c r="C1" s="3"/>
      <x:c r="D1" s="3"/>
    </x:row>
    <x:row r="3">
      <x:c r="A3" s="6" t="str">
        <x:v>Metric</x:v>
      </x:c>
      <x:c r="B3" s="6" t="str">
        <x:v>Count</x:v>
      </x:c>
      <x:c r="C3" s="6" t="str">
        <x:v>Interpretation</x:v>
      </x:c>
      <x:c r="D3" s="6" t="str">
        <x:v>Source</x:v>
      </x:c>
    </x:row>
    <x:row r="4" ht="15" hidden="0" customHeight="1">
      <x:c r="A4" s="25" t="str">
        <x:v>Original source-artifact universe</x:v>
      </x:c>
      <x:c r="B4" s="34" t="n">
        <x:v>8885</x:v>
      </x:c>
      <x:c r="C4" s="26" t="str">
        <x:v>All artifacts in the fixed source-identity audit universe.</x:v>
      </x:c>
      <x:c r="D4" s="27" t="str">
        <x:v>final source-identity manifest</x:v>
      </x:c>
    </x:row>
    <x:row r="5" ht="15" hidden="0" customHeight="1">
      <x:c r="A5" s="28" t="str">
        <x:v>Active verified artifacts</x:v>
      </x:c>
      <x:c r="B5" s="35" t="n">
        <x:v>8455</x:v>
      </x:c>
      <x:c r="C5" s="29" t="str">
        <x:v>Every currently active full-text artifact passes source-identity verification.</x:v>
      </x:c>
      <x:c r="D5" s="30" t="str">
        <x:v>live source-identity audit</x:v>
      </x:c>
    </x:row>
    <x:row r="6" ht="15" hidden="0" customHeight="1">
      <x:c r="A6" s="28" t="str">
        <x:v>Unresolved artifacts</x:v>
      </x:c>
      <x:c r="B6" s="35" t="n">
        <x:f>B4-B5</x:f>
        <x:v>430</x:v>
      </x:c>
      <x:c r="C6" s="29" t="str">
        <x:v>Original artifacts without a currently active verified replacement.</x:v>
      </x:c>
      <x:c r="D6" s="30" t="str">
        <x:v>formula</x:v>
      </x:c>
    </x:row>
    <x:row r="7" ht="15" hidden="0" customHeight="1">
      <x:c r="A7" s="28" t="str">
        <x:v>Excluded or not retained - no repair</x:v>
      </x:c>
      <x:c r="B7" s="35" t="n">
        <x:f>COUNTA('Excluded no download'!$A$2:$A$234)</x:f>
        <x:v>233</x:v>
      </x:c>
      <x:c r="C7" s="29" t="str">
        <x:v>These records are outside extraction and must not be sent to PDF retrieval.</x:v>
      </x:c>
      <x:c r="D7" s="30" t="str">
        <x:v>Excluded no download</x:v>
      </x:c>
    </x:row>
    <x:row r="8" ht="15" hidden="0" customHeight="1">
      <x:c r="A8" s="28" t="str">
        <x:v>Retained as abstract-only - no full-text repair</x:v>
      </x:c>
      <x:c r="B8" s="35" t="n">
        <x:f>COUNTA('Public abstract only'!$A$2:$A$16)+COUNTA('Other abstract only'!$A$2:$A$138)</x:f>
        <x:v>152</x:v>
      </x:c>
      <x:c r="C8" s="29" t="str">
        <x:v>Keep the papers and abstract-derived KG evidence; no full-text artifact is required.</x:v>
      </x:c>
      <x:c r="D8" s="30" t="str">
        <x:v>two abstract-only sheets</x:v>
      </x:c>
    </x:row>
    <x:row r="9" ht="15" hidden="0" customHeight="1">
      <x:c r="A9" s="28" t="str">
        <x:v>Confirmed no public full text</x:v>
      </x:c>
      <x:c r="B9" s="35" t="n">
        <x:f>COUNTA('Public abstract only'!$A$2:$A$16)</x:f>
        <x:v>15</x:v>
      </x:c>
      <x:c r="C9" s="29" t="str">
        <x:v>Abstract remains publicly usable; do not seek licensed or private copies.</x:v>
      </x:c>
      <x:c r="D9" s="30" t="str">
        <x:v>Public abstract only</x:v>
      </x:c>
    </x:row>
    <x:row r="10" ht="15" hidden="0" customHeight="1">
      <x:c r="A10" s="28" t="str">
        <x:v>Other active abstract-only routes</x:v>
      </x:c>
      <x:c r="B10" s="35" t="n">
        <x:f>COUNTA('Other abstract only'!$A$2:$A$138)</x:f>
        <x:v>137</x:v>
      </x:c>
      <x:c r="C10" s="29" t="str">
        <x:v>The current extraction route uses the public abstract and does not request full text.</x:v>
      </x:c>
      <x:c r="D10" s="30" t="str">
        <x:v>Other abstract only</x:v>
      </x:c>
    </x:row>
    <x:row r="11" ht="26.399999618530273" hidden="0" customHeight="1">
      <x:c r="A11" s="28" t="str">
        <x:v>Pipeline full-text repair backlog</x:v>
      </x:c>
      <x:c r="B11" s="35" t="n">
        <x:f>COUNTA('Pipeline fulltext repairs'!$A$2:$A$46)</x:f>
        <x:v>45</x:v>
      </x:c>
      <x:c r="C11" s="29" t="str">
        <x:v>These routes genuinely require a publicly available full-text artifact; this is pipeline work, not a user assignment.</x:v>
      </x:c>
      <x:c r="D11" s="30" t="str">
        <x:v>Pipeline fulltext repairs</x:v>
      </x:c>
    </x:row>
    <x:row r="12" ht="15" hidden="0" customHeight="1">
      <x:c r="A12" s="28" t="str">
        <x:v>Manual inbox PDFs imported and verified</x:v>
      </x:c>
      <x:c r="B12" s="35" t="n">
        <x:f>COUNTA('Imported verified'!$A$2:$A$4)</x:f>
        <x:v>3</x:v>
      </x:c>
      <x:c r="C12" s="29" t="str">
        <x:v>Correct PDFs promoted to canonical source artifacts in this pass.</x:v>
      </x:c>
      <x:c r="D12" s="30" t="str">
        <x:v>Imported verified</x:v>
      </x:c>
    </x:row>
    <x:row r="13" ht="26.399999618530273" hidden="0" customHeight="1">
      <x:c r="A13" s="28" t="str">
        <x:v>Newly excluded by this publication-format pass</x:v>
      </x:c>
      <x:c r="B13" s="35" t="n">
        <x:v>424</x:v>
      </x:c>
      <x:c r="C13" s="29" t="str">
        <x:v>Additional chapters, dissertations, conference abstracts, containers, and a visual essay removed at prescreen.</x:v>
      </x:c>
      <x:c r="D13" s="30" t="str">
        <x:v>prescreen comparison</x:v>
      </x:c>
    </x:row>
    <x:row r="14" ht="26.399999618530273" hidden="0" customHeight="1">
      <x:c r="A14" s="31" t="str">
        <x:v>Publication-format exclusions still leaking into active KG</x:v>
      </x:c>
      <x:c r="B14" s="36" t="n">
        <x:v>0</x:v>
      </x:c>
      <x:c r="C14" s="32" t="str">
        <x:v>Must remain zero after routed KG rebuild.</x:v>
      </x:c>
      <x:c r="D14" s="33" t="str">
        <x:v>KG verification</x:v>
      </x:c>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56" hidden="0" customWidth="1"/>
    <x:col min="3" max="3" width="20" hidden="0" customWidth="1"/>
    <x:col min="4" max="4" width="12" hidden="0" customWidth="1"/>
    <x:col min="5" max="5" width="27" hidden="0" customWidth="1"/>
    <x:col min="6" max="6" width="34" hidden="0" customWidth="1"/>
    <x:col min="7" max="7" width="14" hidden="0" customWidth="1"/>
    <x:col min="8" max="8" width="40" hidden="0" customWidth="1"/>
    <x:col min="9" max="9" width="62" hidden="0" customWidth="1"/>
    <x:col min="10" max="10" width="48" hidden="0" customWidth="1"/>
  </x:cols>
  <x:sheetData>
    <x:row r="1" ht="30" customHeight="1">
      <x:c r="A1" s="43" t="str">
        <x:v>DOI</x:v>
      </x:c>
      <x:c r="B1" s="44" t="str">
        <x:v>Title</x:v>
      </x:c>
      <x:c r="C1" s="44" t="str">
        <x:v>Paper type</x:v>
      </x:c>
      <x:c r="D1" s="44" t="str">
        <x:v>KG findings</x:v>
      </x:c>
      <x:c r="E1" s="44" t="str">
        <x:v>Priority</x:v>
      </x:c>
      <x:c r="F1" s="44" t="str">
        <x:v>Access status</x:v>
      </x:c>
      <x:c r="G1" s="44" t="str">
        <x:v>Checked</x:v>
      </x:c>
      <x:c r="H1" s="44" t="str">
        <x:v>Full-text action</x:v>
      </x:c>
      <x:c r="I1" s="44" t="str">
        <x:v>Why no repair</x:v>
      </x:c>
      <x:c r="J1" s="45" t="str">
        <x:v>DOI URL</x:v>
      </x:c>
    </x:row>
    <x:row r="2" ht="264" hidden="0" customHeight="1">
      <x:c r="A2" s="25" t="str">
        <x:v>10.1007/s00213-021-05879-8</x:v>
      </x:c>
      <x:c r="B2" s="26" t="str">
        <x:v>Low doses of ketamine and guanosine abrogate corticosterone-induced anxiety-related behavior, but not disturbances in the hippocampal NLRP3 inflammasome pathway</x:v>
      </x:c>
      <x:c r="C2" s="26" t="str">
        <x:v>primary</x:v>
      </x:c>
      <x:c r="D2" s="26" t="n">
        <x:v>5</x:v>
      </x:c>
      <x:c r="E2" s="26" t="str">
        <x:v>P0_existing_kg_and_retained</x:v>
      </x:c>
      <x:c r="F2" s="26" t="str">
        <x:v>user_confirmed_no_public_full_text</x:v>
      </x:c>
      <x:c r="G2" s="26" t="str">
        <x:v>2026-07-10</x:v>
      </x:c>
      <x:c r="H2" s="26" t="str">
        <x:v>none_active_route_does_not_require_full_text</x:v>
      </x:c>
      <x:c r="I2" s="26" t="str">
        <x:v>active extraction route uses the public abstract; no full-text artifact is required</x:v>
      </x:c>
      <x:c r="J2" s="27" t="str">
        <x:v>https://doi.org/10.1007/s00213-021-05879-8</x:v>
      </x:c>
    </x:row>
    <x:row r="3" ht="171.60000610351562" hidden="0" customHeight="1">
      <x:c r="A3" s="28" t="str">
        <x:v>10.1007/s00213-021-05889-6</x:v>
      </x:c>
      <x:c r="B3" s="29" t="str">
        <x:v>(R)-Ketamine attenuates LPS-induced endotoxin-derived delirium through inhibition of neuroinflammation</x:v>
      </x:c>
      <x:c r="C3" s="29" t="str">
        <x:v>primary</x:v>
      </x:c>
      <x:c r="D3" s="29" t="n">
        <x:v>7</x:v>
      </x:c>
      <x:c r="E3" s="29" t="str">
        <x:v>P0_existing_kg_and_retained</x:v>
      </x:c>
      <x:c r="F3" s="29" t="str">
        <x:v>user_confirmed_no_public_full_text</x:v>
      </x:c>
      <x:c r="G3" s="29" t="str">
        <x:v>2026-07-10</x:v>
      </x:c>
      <x:c r="H3" s="29" t="str">
        <x:v>none_active_route_does_not_require_full_text</x:v>
      </x:c>
      <x:c r="I3" s="29" t="str">
        <x:v>active extraction route uses the public abstract; no full-text artifact is required</x:v>
      </x:c>
      <x:c r="J3" s="30" t="str">
        <x:v>https://doi.org/10.1007/s00213-021-05889-6</x:v>
      </x:c>
    </x:row>
    <x:row r="4" ht="132" hidden="0" customHeight="1">
      <x:c r="A4" s="28" t="str">
        <x:v>10.1007/s00213-022-06063-2</x:v>
      </x:c>
      <x:c r="B4" s="29" t="str">
        <x:v>Ayahuasca and tobacco smoking cessation: results from an online survey in Brazil</x:v>
      </x:c>
      <x:c r="C4" s="29" t="str">
        <x:v>primary</x:v>
      </x:c>
      <x:c r="D4" s="29" t="n">
        <x:v>17</x:v>
      </x:c>
      <x:c r="E4" s="29" t="str">
        <x:v>P0_existing_kg_and_retained</x:v>
      </x:c>
      <x:c r="F4" s="29" t="str">
        <x:v>user_confirmed_no_public_full_text</x:v>
      </x:c>
      <x:c r="G4" s="29" t="str">
        <x:v>2026-07-10</x:v>
      </x:c>
      <x:c r="H4" s="29" t="str">
        <x:v>none_active_route_does_not_require_full_text</x:v>
      </x:c>
      <x:c r="I4" s="29" t="str">
        <x:v>active extraction route uses the public abstract; no full-text artifact is required</x:v>
      </x:c>
      <x:c r="J4" s="30" t="str">
        <x:v>https://doi.org/10.1007/s00213-022-06063-2</x:v>
      </x:c>
    </x:row>
    <x:row r="5" ht="264" hidden="0" customHeight="1">
      <x:c r="A5" s="28" t="str">
        <x:v>10.1007/s00213-023-06474-9</x:v>
      </x:c>
      <x:c r="B5" s="29" t="str">
        <x:v>Effects of psilocybin, the 5-HT2A receptor agonist TCB-2, and the 5-HT2A receptor antagonist M100907 on visual attention in male mice in the continuous performance test</x:v>
      </x:c>
      <x:c r="C5" s="29" t="str">
        <x:v>primary</x:v>
      </x:c>
      <x:c r="D5" s="29" t="n">
        <x:v>4</x:v>
      </x:c>
      <x:c r="E5" s="29" t="str">
        <x:v>P0_existing_kg_and_retained</x:v>
      </x:c>
      <x:c r="F5" s="29" t="str">
        <x:v>user_confirmed_no_public_full_text</x:v>
      </x:c>
      <x:c r="G5" s="29" t="str">
        <x:v>2026-07-10</x:v>
      </x:c>
      <x:c r="H5" s="29" t="str">
        <x:v>none_active_route_does_not_require_full_text</x:v>
      </x:c>
      <x:c r="I5" s="29" t="str">
        <x:v>active extraction route uses the public abstract; no full-text artifact is required</x:v>
      </x:c>
      <x:c r="J5" s="30" t="str">
        <x:v>https://doi.org/10.1007/s00213-023-06474-9</x:v>
      </x:c>
    </x:row>
    <x:row r="6" ht="145.1999969482422" hidden="0" customHeight="1">
      <x:c r="A6" s="28" t="str">
        <x:v>10.1007/s00213-024-06573-1</x:v>
      </x:c>
      <x:c r="B6" s="29" t="str">
        <x:v>Synergistic use of deep TMS therapy with IV ketamine infusions for major depressive disorder: a pilot study</x:v>
      </x:c>
      <x:c r="C6" s="29" t="str">
        <x:v>primary</x:v>
      </x:c>
      <x:c r="D6" s="29" t="n">
        <x:v>6</x:v>
      </x:c>
      <x:c r="E6" s="29" t="str">
        <x:v>P0_existing_kg_and_retained</x:v>
      </x:c>
      <x:c r="F6" s="29" t="str">
        <x:v>user_confirmed_no_public_full_text</x:v>
      </x:c>
      <x:c r="G6" s="29" t="str">
        <x:v>2026-07-10</x:v>
      </x:c>
      <x:c r="H6" s="29" t="str">
        <x:v>none_active_route_does_not_require_full_text</x:v>
      </x:c>
      <x:c r="I6" s="29" t="str">
        <x:v>active extraction route uses the public abstract; no full-text artifact is required</x:v>
      </x:c>
      <x:c r="J6" s="30" t="str">
        <x:v>https://doi.org/10.1007/s00213-024-06573-1</x:v>
      </x:c>
    </x:row>
    <x:row r="7" ht="224.39999389648438" hidden="0" customHeight="1">
      <x:c r="A7" s="28" t="str">
        <x:v>10.1007/s00213-025-06888-7</x:v>
      </x:c>
      <x:c r="B7" s="29" t="str">
        <x:v>The effect of methamphetamine and 3,4-methylenedioxymethamphetamine on peripheral endocannabinoid concentrations: a study in healthy adults</x:v>
      </x:c>
      <x:c r="C7" s="29" t="str">
        <x:v>primary</x:v>
      </x:c>
      <x:c r="D7" s="29" t="n">
        <x:v>5</x:v>
      </x:c>
      <x:c r="E7" s="29" t="str">
        <x:v>P0_existing_kg_and_retained</x:v>
      </x:c>
      <x:c r="F7" s="29" t="str">
        <x:v>user_confirmed_no_public_full_text</x:v>
      </x:c>
      <x:c r="G7" s="29" t="str">
        <x:v>2026-07-10</x:v>
      </x:c>
      <x:c r="H7" s="29" t="str">
        <x:v>none_active_route_does_not_require_full_text</x:v>
      </x:c>
      <x:c r="I7" s="29" t="str">
        <x:v>active extraction route uses the public abstract; no full-text artifact is required</x:v>
      </x:c>
      <x:c r="J7" s="30" t="str">
        <x:v>https://doi.org/10.1007/s00213-025-06888-7</x:v>
      </x:c>
    </x:row>
    <x:row r="8" ht="158.39999389648438" hidden="0" customHeight="1">
      <x:c r="A8" s="28" t="str">
        <x:v>10.1007/s00221-025-07085-w</x:v>
      </x:c>
      <x:c r="B8" s="29" t="str">
        <x:v>Role of CaMKII/CREB pathway in rapid-antidepressant-like effect: comparison of ketamine with rapastinel</x:v>
      </x:c>
      <x:c r="C8" s="29" t="str">
        <x:v>primary</x:v>
      </x:c>
      <x:c r="D8" s="29" t="n">
        <x:v>9</x:v>
      </x:c>
      <x:c r="E8" s="29" t="str">
        <x:v>P0_existing_kg_and_retained</x:v>
      </x:c>
      <x:c r="F8" s="29" t="str">
        <x:v>user_confirmed_no_public_full_text</x:v>
      </x:c>
      <x:c r="G8" s="29" t="str">
        <x:v>2026-07-10</x:v>
      </x:c>
      <x:c r="H8" s="29" t="str">
        <x:v>none_active_route_does_not_require_full_text</x:v>
      </x:c>
      <x:c r="I8" s="29" t="str">
        <x:v>active extraction route uses the public abstract; no full-text artifact is required</x:v>
      </x:c>
      <x:c r="J8" s="30" t="str">
        <x:v>https://doi.org/10.1007/s00221-025-07085-w</x:v>
      </x:c>
    </x:row>
    <x:row r="9" ht="184.8000030517578" hidden="0" customHeight="1">
      <x:c r="A9" s="28" t="str">
        <x:v>10.1007/s00284-025-04379-8</x:v>
      </x:c>
      <x:c r="B9" s="29" t="str">
        <x:v>Biochemical Insights into Diverse Psilocybe Mushrooms and Their Metabolites as Sources of Neuroactive Agents: A Review</x:v>
      </x:c>
      <x:c r="C9" s="29" t="str">
        <x:v>review</x:v>
      </x:c>
      <x:c r="D9" s="29" t="n">
        <x:v>3</x:v>
      </x:c>
      <x:c r="E9" s="29" t="str">
        <x:v>P0_existing_kg_and_retained</x:v>
      </x:c>
      <x:c r="F9" s="29" t="str">
        <x:v>user_confirmed_no_public_full_text</x:v>
      </x:c>
      <x:c r="G9" s="29" t="str">
        <x:v>2026-07-10</x:v>
      </x:c>
      <x:c r="H9" s="29" t="str">
        <x:v>none_active_route_does_not_require_full_text</x:v>
      </x:c>
      <x:c r="I9" s="29" t="str">
        <x:v>active extraction route uses the public abstract; no full-text artifact is required</x:v>
      </x:c>
      <x:c r="J9" s="30" t="str">
        <x:v>https://doi.org/10.1007/s00284-025-04379-8</x:v>
      </x:c>
    </x:row>
    <x:row r="10" ht="277.20001220703125" hidden="0" customHeight="1">
      <x:c r="A10" s="28" t="str">
        <x:v>10.1007/s00406-023-01735-2</x:v>
      </x:c>
      <x:c r="B10" s="29" t="str">
        <x:v>Effects of melancholic features on positive and negative suicidal ideation in patients with treatment-resistant depression and strong suicidal ideation receiving low-dose ketamine infusion</x:v>
      </x:c>
      <x:c r="C10" s="29" t="str">
        <x:v>primary</x:v>
      </x:c>
      <x:c r="D10" s="29" t="n">
        <x:v>12</x:v>
      </x:c>
      <x:c r="E10" s="29" t="str">
        <x:v>P0_existing_kg_and_retained</x:v>
      </x:c>
      <x:c r="F10" s="29" t="str">
        <x:v>user_confirmed_no_public_full_text</x:v>
      </x:c>
      <x:c r="G10" s="29" t="str">
        <x:v>2026-07-10</x:v>
      </x:c>
      <x:c r="H10" s="29" t="str">
        <x:v>none_active_route_does_not_require_full_text</x:v>
      </x:c>
      <x:c r="I10" s="29" t="str">
        <x:v>active extraction route uses the public abstract; no full-text artifact is required</x:v>
      </x:c>
      <x:c r="J10" s="30" t="str">
        <x:v>https://doi.org/10.1007/s00406-023-01735-2</x:v>
      </x:c>
    </x:row>
    <x:row r="11" ht="237.60000610351562" hidden="0" customHeight="1">
      <x:c r="A11" s="28" t="str">
        <x:v>10.1007/s00406-024-01913-w</x:v>
      </x:c>
      <x:c r="B11" s="29" t="str">
        <x:v>Inflammatory cytokines, cortisol, and anhedonia in patients with treatment-resistant depression after consecutive infusions of low-dose esketamine</x:v>
      </x:c>
      <x:c r="C11" s="29" t="str">
        <x:v>primary</x:v>
      </x:c>
      <x:c r="D11" s="29" t="n">
        <x:v>14</x:v>
      </x:c>
      <x:c r="E11" s="29" t="str">
        <x:v>P0_existing_kg_and_retained</x:v>
      </x:c>
      <x:c r="F11" s="29" t="str">
        <x:v>user_confirmed_no_public_full_text</x:v>
      </x:c>
      <x:c r="G11" s="29" t="str">
        <x:v>2026-07-10</x:v>
      </x:c>
      <x:c r="H11" s="29" t="str">
        <x:v>none_active_route_does_not_require_full_text</x:v>
      </x:c>
      <x:c r="I11" s="29" t="str">
        <x:v>active extraction route uses the public abstract; no full-text artifact is required</x:v>
      </x:c>
      <x:c r="J11" s="30" t="str">
        <x:v>https://doi.org/10.1007/s00406-024-01913-w</x:v>
      </x:c>
    </x:row>
    <x:row r="12" ht="211.1999969482422" hidden="0" customHeight="1">
      <x:c r="A12" s="28" t="str">
        <x:v>10.1007/s12013-024-01499-z</x:v>
      </x:c>
      <x:c r="B12" s="29" t="str">
        <x:v>Structural Insight on Interaction of NMDA receptor with fentanyl, ketamine and Isoflurane: A Computational Study to Unravel Mode of Binding</x:v>
      </x:c>
      <x:c r="C12" s="29" t="str">
        <x:v>primary</x:v>
      </x:c>
      <x:c r="D12" s="29" t="n">
        <x:v>2</x:v>
      </x:c>
      <x:c r="E12" s="29" t="str">
        <x:v>P0_existing_kg_and_retained</x:v>
      </x:c>
      <x:c r="F12" s="29" t="str">
        <x:v>user_confirmed_no_public_full_text</x:v>
      </x:c>
      <x:c r="G12" s="29" t="str">
        <x:v>2026-07-10</x:v>
      </x:c>
      <x:c r="H12" s="29" t="str">
        <x:v>none_active_route_does_not_require_full_text</x:v>
      </x:c>
      <x:c r="I12" s="29" t="str">
        <x:v>active extraction route uses the public abstract; no full-text artifact is required</x:v>
      </x:c>
      <x:c r="J12" s="30" t="str">
        <x:v>https://doi.org/10.1007/s12013-024-01499-z</x:v>
      </x:c>
    </x:row>
    <x:row r="13" ht="198" hidden="0" customHeight="1">
      <x:c r="A13" s="28" t="str">
        <x:v>10.1007/s12031-022-02046-2</x:v>
      </x:c>
      <x:c r="B13" s="29" t="str">
        <x:v>Astrocyte Activation, but not Microglia, Is Associated with the Experimental Mouse Model of Schizophrenia Induced by Chronic Ketamine</x:v>
      </x:c>
      <x:c r="C13" s="29" t="str">
        <x:v>primary</x:v>
      </x:c>
      <x:c r="D13" s="29" t="n">
        <x:v>2</x:v>
      </x:c>
      <x:c r="E13" s="29" t="str">
        <x:v>P0_existing_kg_and_retained</x:v>
      </x:c>
      <x:c r="F13" s="29" t="str">
        <x:v>user_confirmed_no_public_full_text</x:v>
      </x:c>
      <x:c r="G13" s="29" t="str">
        <x:v>2026-07-10</x:v>
      </x:c>
      <x:c r="H13" s="29" t="str">
        <x:v>none_active_route_does_not_require_full_text</x:v>
      </x:c>
      <x:c r="I13" s="29" t="str">
        <x:v>active extraction route uses the public abstract; no full-text artifact is required</x:v>
      </x:c>
      <x:c r="J13" s="30" t="str">
        <x:v>https://doi.org/10.1007/s12031-022-02046-2</x:v>
      </x:c>
    </x:row>
    <x:row r="14" ht="277.20001220703125" hidden="0" customHeight="1">
      <x:c r="A14" s="28" t="str">
        <x:v>10.1007/s12640-024-00727-x</x:v>
      </x:c>
      <x:c r="B14" s="29" t="str">
        <x:v>Exploring the Different Impacts of Ketamine on Neurotrophic Factors and Inflammatory Parameters in a Cecal Ligation and Puncture-Induced Sepsis Model</x:v>
      </x:c>
      <x:c r="C14" s="29" t="str">
        <x:v>primary</x:v>
      </x:c>
      <x:c r="D14" s="29" t="n">
        <x:v>2</x:v>
      </x:c>
      <x:c r="E14" s="29" t="str">
        <x:v>P0_existing_kg_and_retained</x:v>
      </x:c>
      <x:c r="F14" s="29" t="str">
        <x:v>user_confirmed_no_public_full_text</x:v>
      </x:c>
      <x:c r="G14" s="29" t="str">
        <x:v>2026-07-10</x:v>
      </x:c>
      <x:c r="H14" s="29" t="str">
        <x:v>none_active_route_does_not_require_full_text</x:v>
      </x:c>
      <x:c r="I14" s="29" t="str">
        <x:v>active extraction route uses the public abstract; no full-text artifact is required</x:v>
      </x:c>
      <x:c r="J14" s="30" t="str">
        <x:v>https://doi.org/10.1007/s12640-024-00727-x</x:v>
      </x:c>
    </x:row>
    <x:row r="15" ht="145.1999969482422" hidden="0" customHeight="1">
      <x:c r="A15" s="28" t="str">
        <x:v>10.1038/s41380-020-0793-6</x:v>
      </x:c>
      <x:c r="B15" s="29" t="str">
        <x:v>Chronic administration of ketamine induces cognitive deterioration by restraining synaptic signaling</x:v>
      </x:c>
      <x:c r="C15" s="29" t="str">
        <x:v>primary</x:v>
      </x:c>
      <x:c r="D15" s="29" t="n">
        <x:v>11</x:v>
      </x:c>
      <x:c r="E15" s="29" t="str">
        <x:v>P0_existing_kg_and_retained</x:v>
      </x:c>
      <x:c r="F15" s="29" t="str">
        <x:v>user_confirmed_no_public_full_text</x:v>
      </x:c>
      <x:c r="G15" s="29" t="str">
        <x:v>2026-07-10</x:v>
      </x:c>
      <x:c r="H15" s="29" t="str">
        <x:v>none_active_route_does_not_require_full_text</x:v>
      </x:c>
      <x:c r="I15" s="29" t="str">
        <x:v>active extraction route uses the public abstract; no full-text artifact is required</x:v>
      </x:c>
      <x:c r="J15" s="30" t="str">
        <x:v>https://doi.org/10.1038/s41380-020-0793-6</x:v>
      </x:c>
    </x:row>
    <x:row r="16" ht="105.5999984741211" hidden="0" customHeight="1">
      <x:c r="A16" s="31" t="str">
        <x:v>10.1038/s41586-021-03769-9</x:v>
      </x:c>
      <x:c r="B16" s="32" t="str">
        <x:v>Structural basis of ketamine action on human NMDA receptors</x:v>
      </x:c>
      <x:c r="C16" s="32" t="str">
        <x:v>primary</x:v>
      </x:c>
      <x:c r="D16" s="32" t="n">
        <x:v>2</x:v>
      </x:c>
      <x:c r="E16" s="32" t="str">
        <x:v>P0_existing_kg_and_retained</x:v>
      </x:c>
      <x:c r="F16" s="32" t="str">
        <x:v>user_confirmed_no_public_full_text</x:v>
      </x:c>
      <x:c r="G16" s="32" t="str">
        <x:v>2026-07-10</x:v>
      </x:c>
      <x:c r="H16" s="32" t="str">
        <x:v>none_active_route_does_not_require_full_text</x:v>
      </x:c>
      <x:c r="I16" s="32" t="str">
        <x:v>active extraction route uses the public abstract; no full-text artifact is required</x:v>
      </x:c>
      <x:c r="J16" s="33" t="str">
        <x:v>https://doi.org/10.1038/s41586-021-03769-9</x:v>
      </x:c>
    </x:row>
  </x:sheetData>
  <x:pageMargins left="0.7" right="0.7" top="0.75" bottom="0.75" header="0.3" footer="0.3"/>
  <x:tableParts count="1">
    <x:tablePart xmlns:r="http://schemas.openxmlformats.org/officeDocument/2006/relationships" r:id="R73dc81fe9e584d8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56" hidden="0" customWidth="1"/>
    <x:col min="3" max="3" width="20" hidden="0" customWidth="1"/>
    <x:col min="4" max="4" width="12" hidden="0" customWidth="1"/>
    <x:col min="5" max="5" width="27" hidden="0" customWidth="1"/>
    <x:col min="6" max="6" width="40" hidden="0" customWidth="1"/>
    <x:col min="7" max="7" width="66" hidden="0" customWidth="1"/>
    <x:col min="8" max="8" width="48" hidden="0" customWidth="1"/>
  </x:cols>
  <x:sheetData>
    <x:row r="1" ht="30" customHeight="1">
      <x:c r="A1" s="43" t="str">
        <x:v>DOI</x:v>
      </x:c>
      <x:c r="B1" s="44" t="str">
        <x:v>Title</x:v>
      </x:c>
      <x:c r="C1" s="44" t="str">
        <x:v>Paper type</x:v>
      </x:c>
      <x:c r="D1" s="44" t="str">
        <x:v>KG findings</x:v>
      </x:c>
      <x:c r="E1" s="44" t="str">
        <x:v>Priority</x:v>
      </x:c>
      <x:c r="F1" s="44" t="str">
        <x:v>Artifact action</x:v>
      </x:c>
      <x:c r="G1" s="44" t="str">
        <x:v>Why no repair</x:v>
      </x:c>
      <x:c r="H1" s="45" t="str">
        <x:v>DOI URL</x:v>
      </x:c>
    </x:row>
    <x:row r="2" ht="145.1999969482422" hidden="0" customHeight="1">
      <x:c r="A2" s="25" t="str">
        <x:v>10.1001/jamaoncol.2023.0351</x:v>
      </x:c>
      <x:c r="B2" s="26" t="str">
        <x:v>Assessment of Psilocybin Therapy for Patients With Cancer and Major Depression Disorder</x:v>
      </x:c>
      <x:c r="C2" s="26" t="str">
        <x:v>primary</x:v>
      </x:c>
      <x:c r="D2" s="26" t="n">
        <x:v>11</x:v>
      </x:c>
      <x:c r="E2" s="26" t="str">
        <x:v>P0_existing_kg_and_retained</x:v>
      </x:c>
      <x:c r="F2" s="26" t="str">
        <x:v>abstract_only_no_fulltext_repair</x:v>
      </x:c>
      <x:c r="G2" s="26" t="str">
        <x:v>active extraction route uses the public abstract; no full-text artifact is required</x:v>
      </x:c>
      <x:c r="H2" s="27" t="str">
        <x:v>https://doi.org/10.1001/jamaoncol.2023.0351</x:v>
      </x:c>
    </x:row>
    <x:row r="3" ht="237.60000610351562" hidden="0" customHeight="1">
      <x:c r="A3" s="28" t="str">
        <x:v>10.1007/978-981-19-7376-5_21</x:v>
      </x:c>
      <x:c r="B3" s="29" t="str">
        <x:v>The Glutamatergic System in Treatment-Resistant Depression and Comparative Effectiveness of Ketamine and Esketamine: Role of Inflammation?</x:v>
      </x:c>
      <x:c r="C3" s="29" t="str">
        <x:v>review</x:v>
      </x:c>
      <x:c r="D3" s="29" t="n">
        <x:v>0</x:v>
      </x:c>
      <x:c r="E3" s="29" t="str">
        <x:v>P1_existing_kg_or_curated_signal</x:v>
      </x:c>
      <x:c r="F3" s="29" t="str">
        <x:v>abstract_only_no_fulltext_repair</x:v>
      </x:c>
      <x:c r="G3" s="29" t="str">
        <x:v>active extraction route uses the public abstract; no full-text artifact is required</x:v>
      </x:c>
      <x:c r="H3" s="30" t="str">
        <x:v>https://doi.org/10.1007/978-981-19-7376-5_21</x:v>
      </x:c>
    </x:row>
    <x:row r="4" ht="145.1999969482422" hidden="0" customHeight="1">
      <x:c r="A4" s="28" t="str">
        <x:v>10.1007/978-981-97-4402-2_3</x:v>
      </x:c>
      <x:c r="B4" s="29" t="str">
        <x:v>Efficacy, Safety, and Tolerability of Psychedelics in Treatment-Resistant Depression (TRD)</x:v>
      </x:c>
      <x:c r="C4" s="29" t="str">
        <x:v>review</x:v>
      </x:c>
      <x:c r="D4" s="29" t="n">
        <x:v>0</x:v>
      </x:c>
      <x:c r="E4" s="29" t="str">
        <x:v>P2_retained_candidate</x:v>
      </x:c>
      <x:c r="F4" s="29" t="str">
        <x:v>abstract_only_no_fulltext_repair</x:v>
      </x:c>
      <x:c r="G4" s="29" t="str">
        <x:v>active extraction route uses the public abstract; no full-text artifact is required</x:v>
      </x:c>
      <x:c r="H4" s="30" t="str">
        <x:v>https://doi.org/10.1007/978-981-97-4402-2_3</x:v>
      </x:c>
    </x:row>
    <x:row r="5" ht="105.5999984741211" hidden="0" customHeight="1">
      <x:c r="A5" s="28" t="str">
        <x:v>10.1007/s00115-021-01225-7</x:v>
      </x:c>
      <x:c r="B5" s="29" t="str">
        <x:v>Schnell wirksame Antidepressiva – neurobiologische Wirkprinzipien</x:v>
      </x:c>
      <x:c r="C5" s="29" t="str">
        <x:v>review</x:v>
      </x:c>
      <x:c r="D5" s="29" t="n">
        <x:v>0</x:v>
      </x:c>
      <x:c r="E5" s="29" t="str">
        <x:v>P2_retained_candidate</x:v>
      </x:c>
      <x:c r="F5" s="29" t="str">
        <x:v>abstract_only_no_fulltext_repair</x:v>
      </x:c>
      <x:c r="G5" s="29" t="str">
        <x:v>active extraction route uses the public abstract; no full-text artifact is required</x:v>
      </x:c>
      <x:c r="H5" s="30" t="str">
        <x:v>https://doi.org/10.1007/s00115-021-01225-7</x:v>
      </x:c>
    </x:row>
    <x:row r="6" ht="158.39999389648438" hidden="0" customHeight="1">
      <x:c r="A6" s="28" t="str">
        <x:v>10.1007/s00115-021-01260-4</x:v>
      </x:c>
      <x:c r="B6" s="29" t="str">
        <x:v>Praktische Aspekte der Ketaminbehandlung – Sicherheit, Kombinationstherapien und Komorbiditäten</x:v>
      </x:c>
      <x:c r="C6" s="29" t="str">
        <x:v>primary</x:v>
      </x:c>
      <x:c r="D6" s="29" t="n">
        <x:v>3</x:v>
      </x:c>
      <x:c r="E6" s="29" t="str">
        <x:v>P0_existing_kg_and_retained</x:v>
      </x:c>
      <x:c r="F6" s="29" t="str">
        <x:v>abstract_only_no_fulltext_repair</x:v>
      </x:c>
      <x:c r="G6" s="29" t="str">
        <x:v>active extraction route uses the public abstract; no full-text artifact is required</x:v>
      </x:c>
      <x:c r="H6" s="30" t="str">
        <x:v>https://doi.org/10.1007/s00115-021-01260-4</x:v>
      </x:c>
    </x:row>
    <x:row r="7" ht="105.5999984741211" hidden="0" customHeight="1">
      <x:c r="A7" s="28" t="str">
        <x:v>10.1007/s00115-023-01466-8</x:v>
      </x:c>
      <x:c r="B7" s="29" t="str">
        <x:v>Passagere und anhaltende visuelle Phänomene in der Neurologie</x:v>
      </x:c>
      <x:c r="C7" s="29" t="str">
        <x:v>review</x:v>
      </x:c>
      <x:c r="D7" s="29" t="n">
        <x:v>0</x:v>
      </x:c>
      <x:c r="E7" s="29" t="str">
        <x:v>P2_retained_candidate</x:v>
      </x:c>
      <x:c r="F7" s="29" t="str">
        <x:v>abstract_only_no_fulltext_repair</x:v>
      </x:c>
      <x:c r="G7" s="29" t="str">
        <x:v>active extraction route uses the public abstract; no full-text artifact is required</x:v>
      </x:c>
      <x:c r="H7" s="30" t="str">
        <x:v>https://doi.org/10.1007/s00115-023-01466-8</x:v>
      </x:c>
    </x:row>
    <x:row r="8" ht="105.5999984741211" hidden="0" customHeight="1">
      <x:c r="A8" s="28" t="str">
        <x:v>10.1007/s00115-024-01647-z</x:v>
      </x:c>
      <x:c r="B8" s="29" t="str">
        <x:v>Klinisches Management der therapieresistenten Depression</x:v>
      </x:c>
      <x:c r="C8" s="29" t="str">
        <x:v>review</x:v>
      </x:c>
      <x:c r="D8" s="29" t="n">
        <x:v>0</x:v>
      </x:c>
      <x:c r="E8" s="29" t="str">
        <x:v>P2_retained_candidate</x:v>
      </x:c>
      <x:c r="F8" s="29" t="str">
        <x:v>abstract_only_no_fulltext_repair</x:v>
      </x:c>
      <x:c r="G8" s="29" t="str">
        <x:v>active extraction route uses the public abstract; no full-text artifact is required</x:v>
      </x:c>
      <x:c r="H8" s="30" t="str">
        <x:v>https://doi.org/10.1007/s00115-024-01647-z</x:v>
      </x:c>
    </x:row>
    <x:row r="9" ht="145.1999969482422" hidden="0" customHeight="1">
      <x:c r="A9" s="28" t="str">
        <x:v>10.1007/s00127-023-02448-6</x:v>
      </x:c>
      <x:c r="B9" s="29" t="str">
        <x:v>Perceived risk of LSD varies with age and race: evidence from 2019 United States cross-sectional data</x:v>
      </x:c>
      <x:c r="C9" s="29" t="str">
        <x:v>primary</x:v>
      </x:c>
      <x:c r="D9" s="29" t="n">
        <x:v>0</x:v>
      </x:c>
      <x:c r="E9" s="29" t="str">
        <x:v>P2_retained_candidate</x:v>
      </x:c>
      <x:c r="F9" s="29" t="str">
        <x:v>abstract_only_no_fulltext_repair</x:v>
      </x:c>
      <x:c r="G9" s="29" t="str">
        <x:v>active extraction route uses the public abstract; no full-text artifact is required</x:v>
      </x:c>
      <x:c r="H9" s="30" t="str">
        <x:v>https://doi.org/10.1007/s00127-023-02448-6</x:v>
      </x:c>
    </x:row>
    <x:row r="10" ht="224.39999389648438" hidden="0" customHeight="1">
      <x:c r="A10" s="28" t="str">
        <x:v>10.1007/s00204-025-04208-8</x:v>
      </x:c>
      <x:c r="B10" s="29" t="str">
        <x:v>Dimethyltryptamine and harmine, components of ayahuasca, prevented cocaine-induced apoptosis in SH-SY5Y human neuroblastoma cells</x:v>
      </x:c>
      <x:c r="C10" s="29" t="str">
        <x:v>primary</x:v>
      </x:c>
      <x:c r="D10" s="29" t="n">
        <x:v>0</x:v>
      </x:c>
      <x:c r="E10" s="29" t="str">
        <x:v>P2_retained_candidate</x:v>
      </x:c>
      <x:c r="F10" s="29" t="str">
        <x:v>abstract_only_no_fulltext_repair</x:v>
      </x:c>
      <x:c r="G10" s="29" t="str">
        <x:v>active extraction route uses the public abstract; no full-text artifact is required</x:v>
      </x:c>
      <x:c r="H10" s="30" t="str">
        <x:v>https://doi.org/10.1007/s00204-025-04208-8</x:v>
      </x:c>
    </x:row>
    <x:row r="11" ht="198" hidden="0" customHeight="1">
      <x:c r="A11" s="28" t="str">
        <x:v>10.1007/s00204-026-04365-4</x:v>
      </x:c>
      <x:c r="B11" s="29" t="str">
        <x:v>In-silico toxicity study of tryptamine, psilocin, psilocybin, N,N-dimethyltryptamine, 5’-methoxy-N,N-dimethyltryptamine and O-acetylpsilocin</x:v>
      </x:c>
      <x:c r="C11" s="29" t="str">
        <x:v>primary</x:v>
      </x:c>
      <x:c r="D11" s="29" t="n">
        <x:v>5</x:v>
      </x:c>
      <x:c r="E11" s="29" t="str">
        <x:v>P0_existing_kg_and_retained</x:v>
      </x:c>
      <x:c r="F11" s="29" t="str">
        <x:v>abstract_only_no_fulltext_repair</x:v>
      </x:c>
      <x:c r="G11" s="29" t="str">
        <x:v>active extraction route uses the public abstract; no full-text artifact is required</x:v>
      </x:c>
      <x:c r="H11" s="30" t="str">
        <x:v>https://doi.org/10.1007/s00204-026-04365-4</x:v>
      </x:c>
    </x:row>
    <x:row r="12" ht="171.60000610351562" hidden="0" customHeight="1">
      <x:c r="A12" s="28" t="str">
        <x:v>10.1007/s00210-025-04019-9</x:v>
      </x:c>
      <x:c r="B12" s="29" t="str">
        <x:v>Using cluster analysis to investigate consumption patterns in cases positive to ketamine: a national 7‐year study</x:v>
      </x:c>
      <x:c r="C12" s="29" t="str">
        <x:v>primary</x:v>
      </x:c>
      <x:c r="D12" s="29" t="n">
        <x:v>3</x:v>
      </x:c>
      <x:c r="E12" s="29" t="str">
        <x:v>P0_existing_kg_and_retained</x:v>
      </x:c>
      <x:c r="F12" s="29" t="str">
        <x:v>abstract_only_no_fulltext_repair</x:v>
      </x:c>
      <x:c r="G12" s="29" t="str">
        <x:v>active extraction route uses the public abstract; no full-text artifact is required</x:v>
      </x:c>
      <x:c r="H12" s="30" t="str">
        <x:v>https://doi.org/10.1007/s00210-025-04019-9</x:v>
      </x:c>
    </x:row>
    <x:row r="13" ht="158.39999389648438" hidden="0" customHeight="1">
      <x:c r="A13" s="28" t="str">
        <x:v>10.1007/s00210-025-04152-5</x:v>
      </x:c>
      <x:c r="B13" s="29" t="str">
        <x:v>Psilocin alleviates acute itch in mice: possible involvement of 5-HT2A receptors and kynurenine pathway</x:v>
      </x:c>
      <x:c r="C13" s="29" t="str">
        <x:v>primary</x:v>
      </x:c>
      <x:c r="D13" s="29" t="n">
        <x:v>0</x:v>
      </x:c>
      <x:c r="E13" s="29" t="str">
        <x:v>P2_retained_candidate</x:v>
      </x:c>
      <x:c r="F13" s="29" t="str">
        <x:v>abstract_only_no_fulltext_repair</x:v>
      </x:c>
      <x:c r="G13" s="29" t="str">
        <x:v>active extraction route uses the public abstract; no full-text artifact is required</x:v>
      </x:c>
      <x:c r="H13" s="30" t="str">
        <x:v>https://doi.org/10.1007/s00210-025-04152-5</x:v>
      </x:c>
    </x:row>
    <x:row r="14" ht="303.6000061035156" hidden="0" customHeight="1">
      <x:c r="A14" s="28" t="str">
        <x:v>10.1007/s00210-026-05108-z</x:v>
      </x:c>
      <x:c r="B14" s="29" t="str">
        <x:v>Adverse drug events and toxicological mechanisms of esketamine: a study based on US Food and Drug Administration Adverse Event Reporting System and network toxicology analysis</x:v>
      </x:c>
      <x:c r="C14" s="29" t="str">
        <x:v>primary</x:v>
      </x:c>
      <x:c r="D14" s="29" t="n">
        <x:v>0</x:v>
      </x:c>
      <x:c r="E14" s="29" t="str">
        <x:v>P2_retained_candidate</x:v>
      </x:c>
      <x:c r="F14" s="29" t="str">
        <x:v>abstract_only_no_fulltext_repair</x:v>
      </x:c>
      <x:c r="G14" s="29" t="str">
        <x:v>active extraction route uses the public abstract; no full-text artifact is required</x:v>
      </x:c>
      <x:c r="H14" s="30" t="str">
        <x:v>https://doi.org/10.1007/s00210-026-05108-z</x:v>
      </x:c>
    </x:row>
    <x:row r="15" ht="105.5999984741211" hidden="0" customHeight="1">
      <x:c r="A15" s="28" t="str">
        <x:v>10.1007/s00213-019-05279-z</x:v>
      </x:c>
      <x:c r="B15" s="29" t="str">
        <x:v>Replication and extension of a model predicting response to psilocybin</x:v>
      </x:c>
      <x:c r="C15" s="29" t="str">
        <x:v>primary</x:v>
      </x:c>
      <x:c r="D15" s="29" t="n">
        <x:v>7</x:v>
      </x:c>
      <x:c r="E15" s="29" t="str">
        <x:v>P0_existing_kg_and_retained</x:v>
      </x:c>
      <x:c r="F15" s="29" t="str">
        <x:v>abstract_only_no_fulltext_repair</x:v>
      </x:c>
      <x:c r="G15" s="29" t="str">
        <x:v>active extraction route uses the public abstract; no full-text artifact is required</x:v>
      </x:c>
      <x:c r="H15" s="30" t="str">
        <x:v>https://doi.org/10.1007/s00213-019-05279-z</x:v>
      </x:c>
    </x:row>
    <x:row r="16" ht="250.8000030517578" hidden="0" customHeight="1">
      <x:c r="A16" s="28" t="str">
        <x:v>10.1007/s00213-020-05490-3</x:v>
      </x:c>
      <x:c r="B16" s="29" t="str">
        <x:v>Ketamine relieves depression-like behaviors induced by chronic postsurgical pain in rats through anti-inflammatory, anti-oxidant effects and regulating BDNF expression</x:v>
      </x:c>
      <x:c r="C16" s="29" t="str">
        <x:v>primary</x:v>
      </x:c>
      <x:c r="D16" s="29" t="n">
        <x:v>4</x:v>
      </x:c>
      <x:c r="E16" s="29" t="str">
        <x:v>P0_existing_kg_and_retained</x:v>
      </x:c>
      <x:c r="F16" s="29" t="str">
        <x:v>abstract_only_no_fulltext_repair</x:v>
      </x:c>
      <x:c r="G16" s="29" t="str">
        <x:v>active extraction route uses the public abstract; no full-text artifact is required</x:v>
      </x:c>
      <x:c r="H16" s="30" t="str">
        <x:v>https://doi.org/10.1007/s00213-020-05490-3</x:v>
      </x:c>
    </x:row>
    <x:row r="17" ht="264" hidden="0" customHeight="1">
      <x:c r="A17" s="28" t="str">
        <x:v>10.1007/s00213-020-05692-9</x:v>
      </x:c>
      <x:c r="B17" s="29" t="str">
        <x:v>Rapid and sustained decreases in suicidality following a single dose of ayahuasca among individuals with recurrent major depressive disorder: results from an open-label trial</x:v>
      </x:c>
      <x:c r="C17" s="29" t="str">
        <x:v>primary</x:v>
      </x:c>
      <x:c r="D17" s="29" t="n">
        <x:v>0</x:v>
      </x:c>
      <x:c r="E17" s="29" t="str">
        <x:v>P1_existing_kg_or_curated_signal</x:v>
      </x:c>
      <x:c r="F17" s="29" t="str">
        <x:v>abstract_only_no_fulltext_repair</x:v>
      </x:c>
      <x:c r="G17" s="29" t="str">
        <x:v>active extraction route uses the public abstract; no full-text artifact is required</x:v>
      </x:c>
      <x:c r="H17" s="30" t="str">
        <x:v>https://doi.org/10.1007/s00213-020-05692-9</x:v>
      </x:c>
    </x:row>
    <x:row r="18" ht="105.5999984741211" hidden="0" customHeight="1">
      <x:c r="A18" s="28" t="str">
        <x:v>10.1007/s00213-020-05756-w</x:v>
      </x:c>
      <x:c r="B18" s="29" t="str">
        <x:v>The acute effects of classic psychedelics on memory in humans</x:v>
      </x:c>
      <x:c r="C18" s="29" t="str">
        <x:v>review</x:v>
      </x:c>
      <x:c r="D18" s="29" t="n">
        <x:v>0</x:v>
      </x:c>
      <x:c r="E18" s="29" t="str">
        <x:v>P2_retained_candidate</x:v>
      </x:c>
      <x:c r="F18" s="29" t="str">
        <x:v>abstract_only_no_fulltext_repair</x:v>
      </x:c>
      <x:c r="G18" s="29" t="str">
        <x:v>active extraction route uses the public abstract; no full-text artifact is required</x:v>
      </x:c>
      <x:c r="H18" s="30" t="str">
        <x:v>https://doi.org/10.1007/s00213-020-05756-w</x:v>
      </x:c>
    </x:row>
    <x:row r="19" ht="184.8000030517578" hidden="0" customHeight="1">
      <x:c r="A19" s="28" t="str">
        <x:v>10.1007/s00213-021-05767-1</x:v>
      </x:c>
      <x:c r="B19" s="29" t="str">
        <x:v>Ketamine-induced urological toxicity: potential mechanisms and translation for adults with mood disorders receiving ketamine treatment</x:v>
      </x:c>
      <x:c r="C19" s="29" t="str">
        <x:v>review</x:v>
      </x:c>
      <x:c r="D19" s="29" t="n">
        <x:v>0</x:v>
      </x:c>
      <x:c r="E19" s="29" t="str">
        <x:v>P2_retained_candidate</x:v>
      </x:c>
      <x:c r="F19" s="29" t="str">
        <x:v>abstract_only_no_fulltext_repair</x:v>
      </x:c>
      <x:c r="G19" s="29" t="str">
        <x:v>active extraction route uses the public abstract; no full-text artifact is required</x:v>
      </x:c>
      <x:c r="H19" s="30" t="str">
        <x:v>https://doi.org/10.1007/s00213-021-05767-1</x:v>
      </x:c>
    </x:row>
    <x:row r="20" ht="158.39999389648438" hidden="0" customHeight="1">
      <x:c r="A20" s="28" t="str">
        <x:v>10.1007/s00213-021-05825-8</x:v>
      </x:c>
      <x:c r="B20" s="29" t="str">
        <x:v>Efficacy of ketamine for major depressive episodes at 2, 4, and 6-weeks post-treatment: A meta-analysis</x:v>
      </x:c>
      <x:c r="C20" s="29" t="str">
        <x:v>meta_analysis</x:v>
      </x:c>
      <x:c r="D20" s="29" t="n">
        <x:v>0</x:v>
      </x:c>
      <x:c r="E20" s="29" t="str">
        <x:v>P2_retained_candidate</x:v>
      </x:c>
      <x:c r="F20" s="29" t="str">
        <x:v>abstract_only_no_fulltext_repair</x:v>
      </x:c>
      <x:c r="G20" s="29" t="str">
        <x:v>active extraction route uses the public abstract; no full-text artifact is required</x:v>
      </x:c>
      <x:c r="H20" s="30" t="str">
        <x:v>https://doi.org/10.1007/s00213-021-05825-8</x:v>
      </x:c>
    </x:row>
    <x:row r="21" ht="105.5999984741211" hidden="0" customHeight="1">
      <x:c r="A21" s="28" t="str">
        <x:v>10.1007/s00213-021-05876-x</x:v>
      </x:c>
      <x:c r="B21" s="29" t="str">
        <x:v>Serotonin toxicity of serotonergic psychedelics</x:v>
      </x:c>
      <x:c r="C21" s="29" t="str">
        <x:v>review</x:v>
      </x:c>
      <x:c r="D21" s="29" t="n">
        <x:v>0</x:v>
      </x:c>
      <x:c r="E21" s="29" t="str">
        <x:v>P2_retained_candidate</x:v>
      </x:c>
      <x:c r="F21" s="29" t="str">
        <x:v>abstract_only_no_fulltext_repair</x:v>
      </x:c>
      <x:c r="G21" s="29" t="str">
        <x:v>active extraction route uses the public abstract; no full-text artifact is required</x:v>
      </x:c>
      <x:c r="H21" s="30" t="str">
        <x:v>https://doi.org/10.1007/s00213-021-05876-x</x:v>
      </x:c>
    </x:row>
    <x:row r="22" ht="171.60000610351562" hidden="0" customHeight="1">
      <x:c r="A22" s="28" t="str">
        <x:v>10.1007/s00213-021-05964-y</x:v>
      </x:c>
      <x:c r="B22" s="29" t="str">
        <x:v>The adverse events of ibogaine in humans: an updated systematic review of the literature (2015–2020)</x:v>
      </x:c>
      <x:c r="C22" s="29" t="str">
        <x:v>systematic_review</x:v>
      </x:c>
      <x:c r="D22" s="29" t="n">
        <x:v>0</x:v>
      </x:c>
      <x:c r="E22" s="29" t="str">
        <x:v>P2_retained_candidate</x:v>
      </x:c>
      <x:c r="F22" s="29" t="str">
        <x:v>abstract_only_no_fulltext_repair</x:v>
      </x:c>
      <x:c r="G22" s="29" t="str">
        <x:v>active extraction route uses the public abstract; no full-text artifact is required</x:v>
      </x:c>
      <x:c r="H22" s="30" t="str">
        <x:v>https://doi.org/10.1007/s00213-021-05964-y</x:v>
      </x:c>
    </x:row>
    <x:row r="23" ht="198" hidden="0" customHeight="1">
      <x:c r="A23" s="28" t="str">
        <x:v>10.1007/s00213-021-06021-4</x:v>
      </x:c>
      <x:c r="B23" s="29" t="str">
        <x:v>Ketamine abrogates sensorimotor deficits and cytokine dysregulation in a chronic unpredictable mild stress model of depression</x:v>
      </x:c>
      <x:c r="C23" s="29" t="str">
        <x:v>primary</x:v>
      </x:c>
      <x:c r="D23" s="29" t="n">
        <x:v>0</x:v>
      </x:c>
      <x:c r="E23" s="29" t="str">
        <x:v>P2_retained_candidate</x:v>
      </x:c>
      <x:c r="F23" s="29" t="str">
        <x:v>abstract_only_no_fulltext_repair</x:v>
      </x:c>
      <x:c r="G23" s="29" t="str">
        <x:v>active extraction route uses the public abstract; no full-text artifact is required</x:v>
      </x:c>
      <x:c r="H23" s="30" t="str">
        <x:v>https://doi.org/10.1007/s00213-021-06021-4</x:v>
      </x:c>
    </x:row>
    <x:row r="24" ht="171.60000610351562" hidden="0" customHeight="1">
      <x:c r="A24" s="28" t="str">
        <x:v>10.1007/s00213-021-06049-6</x:v>
      </x:c>
      <x:c r="B24" s="29" t="str">
        <x:v>Assessing the risk–benefit profile of classical psychedelics: a clinical review of second-wave psychedelic research</x:v>
      </x:c>
      <x:c r="C24" s="29" t="str">
        <x:v>review</x:v>
      </x:c>
      <x:c r="D24" s="29" t="n">
        <x:v>0</x:v>
      </x:c>
      <x:c r="E24" s="29" t="str">
        <x:v>P2_retained_candidate</x:v>
      </x:c>
      <x:c r="F24" s="29" t="str">
        <x:v>abstract_only_no_fulltext_repair</x:v>
      </x:c>
      <x:c r="G24" s="29" t="str">
        <x:v>active extraction route uses the public abstract; no full-text artifact is required</x:v>
      </x:c>
      <x:c r="H24" s="30" t="str">
        <x:v>https://doi.org/10.1007/s00213-021-06049-6</x:v>
      </x:c>
    </x:row>
    <x:row r="25" ht="171.60000610351562" hidden="0" customHeight="1">
      <x:c r="A25" s="28" t="str">
        <x:v>10.1007/s00213-022-06090-z</x:v>
      </x:c>
      <x:c r="B25" s="29" t="str">
        <x:v>N-methyl-D-aspartate receptor antagonism impairs sensory gating in the auditory cortex in response to speech stimuli</x:v>
      </x:c>
      <x:c r="C25" s="29" t="str">
        <x:v>primary</x:v>
      </x:c>
      <x:c r="D25" s="29" t="n">
        <x:v>0</x:v>
      </x:c>
      <x:c r="E25" s="29" t="str">
        <x:v>P2_retained_candidate</x:v>
      </x:c>
      <x:c r="F25" s="29" t="str">
        <x:v>abstract_only_no_fulltext_repair</x:v>
      </x:c>
      <x:c r="G25" s="29" t="str">
        <x:v>active extraction route uses the public abstract; no full-text artifact is required</x:v>
      </x:c>
      <x:c r="H25" s="30" t="str">
        <x:v>https://doi.org/10.1007/s00213-022-06090-z</x:v>
      </x:c>
    </x:row>
    <x:row r="26" ht="105.5999984741211" hidden="0" customHeight="1">
      <x:c r="A26" s="28" t="str">
        <x:v>10.1007/s00213-022-06098-5</x:v>
      </x:c>
      <x:c r="B26" s="29" t="str">
        <x:v>The role of serotonin neurotransmission in rapid antidepressant actions</x:v>
      </x:c>
      <x:c r="C26" s="29" t="str">
        <x:v>review</x:v>
      </x:c>
      <x:c r="D26" s="29" t="n">
        <x:v>0</x:v>
      </x:c>
      <x:c r="E26" s="29" t="str">
        <x:v>P2_retained_candidate</x:v>
      </x:c>
      <x:c r="F26" s="29" t="str">
        <x:v>abstract_only_no_fulltext_repair</x:v>
      </x:c>
      <x:c r="G26" s="29" t="str">
        <x:v>active extraction route uses the public abstract; no full-text artifact is required</x:v>
      </x:c>
      <x:c r="H26" s="30" t="str">
        <x:v>https://doi.org/10.1007/s00213-022-06098-5</x:v>
      </x:c>
    </x:row>
    <x:row r="27" ht="171.60000610351562" hidden="0" customHeight="1">
      <x:c r="A27" s="28" t="str">
        <x:v>10.1007/s00213-022-06118-4</x:v>
      </x:c>
      <x:c r="B27" s="29" t="str">
        <x:v>Mediation of the behavioral effects of ketamine and (2R,6R)-hydroxynorketamine in mice by kappa opioid receptors</x:v>
      </x:c>
      <x:c r="C27" s="29" t="str">
        <x:v>primary</x:v>
      </x:c>
      <x:c r="D27" s="29" t="n">
        <x:v>0</x:v>
      </x:c>
      <x:c r="E27" s="29" t="str">
        <x:v>P2_retained_candidate</x:v>
      </x:c>
      <x:c r="F27" s="29" t="str">
        <x:v>abstract_only_no_fulltext_repair</x:v>
      </x:c>
      <x:c r="G27" s="29" t="str">
        <x:v>active extraction route uses the public abstract; no full-text artifact is required</x:v>
      </x:c>
      <x:c r="H27" s="30" t="str">
        <x:v>https://doi.org/10.1007/s00213-022-06118-4</x:v>
      </x:c>
    </x:row>
    <x:row r="28" ht="105.5999984741211" hidden="0" customHeight="1">
      <x:c r="A28" s="28" t="str">
        <x:v>10.1007/s00213-022-06170-0</x:v>
      </x:c>
      <x:c r="B28" s="29" t="str">
        <x:v>Natural language signatures of psilocybin microdosing</x:v>
      </x:c>
      <x:c r="C28" s="29" t="str">
        <x:v>primary</x:v>
      </x:c>
      <x:c r="D28" s="29" t="n">
        <x:v>0</x:v>
      </x:c>
      <x:c r="E28" s="29" t="str">
        <x:v>P2_retained_candidate</x:v>
      </x:c>
      <x:c r="F28" s="29" t="str">
        <x:v>abstract_only_no_fulltext_repair</x:v>
      </x:c>
      <x:c r="G28" s="29" t="str">
        <x:v>active extraction route uses the public abstract; no full-text artifact is required</x:v>
      </x:c>
      <x:c r="H28" s="30" t="str">
        <x:v>https://doi.org/10.1007/s00213-022-06170-0</x:v>
      </x:c>
    </x:row>
    <x:row r="29" ht="118.80000305175781" hidden="0" customHeight="1">
      <x:c r="A29" s="28" t="str">
        <x:v>10.1007/s00213-022-06217-2</x:v>
      </x:c>
      <x:c r="B29" s="29" t="str">
        <x:v>Evidence on the impairing effects of Ayahuasca on fear memory reconsolidation</x:v>
      </x:c>
      <x:c r="C29" s="29" t="str">
        <x:v>primary</x:v>
      </x:c>
      <x:c r="D29" s="29" t="n">
        <x:v>0</x:v>
      </x:c>
      <x:c r="E29" s="29" t="str">
        <x:v>P2_retained_candidate</x:v>
      </x:c>
      <x:c r="F29" s="29" t="str">
        <x:v>abstract_only_no_fulltext_repair</x:v>
      </x:c>
      <x:c r="G29" s="29" t="str">
        <x:v>active extraction route uses the public abstract; no full-text artifact is required</x:v>
      </x:c>
      <x:c r="H29" s="30" t="str">
        <x:v>https://doi.org/10.1007/s00213-022-06217-2</x:v>
      </x:c>
    </x:row>
    <x:row r="30" ht="132" hidden="0" customHeight="1">
      <x:c r="A30" s="28" t="str">
        <x:v>10.1007/s00213-022-06229-y</x:v>
      </x:c>
      <x:c r="B30" s="29" t="str">
        <x:v>Contrasting effects of DOI and lisuride on impulsive decision-making in delay discounting task</x:v>
      </x:c>
      <x:c r="C30" s="29" t="str">
        <x:v>primary</x:v>
      </x:c>
      <x:c r="D30" s="29" t="n">
        <x:v>0</x:v>
      </x:c>
      <x:c r="E30" s="29" t="str">
        <x:v>P2_retained_candidate</x:v>
      </x:c>
      <x:c r="F30" s="29" t="str">
        <x:v>abstract_only_no_fulltext_repair</x:v>
      </x:c>
      <x:c r="G30" s="29" t="str">
        <x:v>active extraction route uses the public abstract; no full-text artifact is required</x:v>
      </x:c>
      <x:c r="H30" s="30" t="str">
        <x:v>https://doi.org/10.1007/s00213-022-06229-y</x:v>
      </x:c>
    </x:row>
    <x:row r="31" ht="105.5999984741211" hidden="0" customHeight="1">
      <x:c r="A31" s="28" t="str">
        <x:v>10.1007/s00213-022-06249-8</x:v>
      </x:c>
      <x:c r="B31" s="29" t="str">
        <x:v>Set and setting in microdosing: an oft-overlooked principle</x:v>
      </x:c>
      <x:c r="C31" s="29" t="str">
        <x:v>narrative_review</x:v>
      </x:c>
      <x:c r="D31" s="29" t="n">
        <x:v>0</x:v>
      </x:c>
      <x:c r="E31" s="29" t="str">
        <x:v>P2_retained_candidate</x:v>
      </x:c>
      <x:c r="F31" s="29" t="str">
        <x:v>abstract_only_no_fulltext_repair</x:v>
      </x:c>
      <x:c r="G31" s="29" t="str">
        <x:v>active extraction route uses the public abstract; no full-text artifact is required</x:v>
      </x:c>
      <x:c r="H31" s="30" t="str">
        <x:v>https://doi.org/10.1007/s00213-022-06249-8</x:v>
      </x:c>
    </x:row>
    <x:row r="32" ht="198" hidden="0" customHeight="1">
      <x:c r="A32" s="28" t="str">
        <x:v>10.1007/s00213-023-06366-y</x:v>
      </x:c>
      <x:c r="B32" s="29" t="str">
        <x:v>The effects of serotonergic psychedelics in synaptic and intrinsic properties of neurons in layer II/III of the orbitofrontal cortex</x:v>
      </x:c>
      <x:c r="C32" s="29" t="str">
        <x:v>primary</x:v>
      </x:c>
      <x:c r="D32" s="29" t="n">
        <x:v>0</x:v>
      </x:c>
      <x:c r="E32" s="29" t="str">
        <x:v>P2_retained_candidate</x:v>
      </x:c>
      <x:c r="F32" s="29" t="str">
        <x:v>abstract_only_no_fulltext_repair</x:v>
      </x:c>
      <x:c r="G32" s="29" t="str">
        <x:v>active extraction route uses the public abstract; no full-text artifact is required</x:v>
      </x:c>
      <x:c r="H32" s="30" t="str">
        <x:v>https://doi.org/10.1007/s00213-023-06366-y</x:v>
      </x:c>
    </x:row>
    <x:row r="33" ht="145.1999969482422" hidden="0" customHeight="1">
      <x:c r="A33" s="28" t="str">
        <x:v>10.1007/s00213-023-06482-9</x:v>
      </x:c>
      <x:c r="B33" s="29" t="str">
        <x:v>Serotonin 2C receptors are also important in head-twitch responses in male mice</x:v>
      </x:c>
      <x:c r="C33" s="29" t="str">
        <x:v>primary</x:v>
      </x:c>
      <x:c r="D33" s="29" t="n">
        <x:v>1</x:v>
      </x:c>
      <x:c r="E33" s="29" t="str">
        <x:v>P0_existing_kg_and_retained</x:v>
      </x:c>
      <x:c r="F33" s="29" t="str">
        <x:v>abstract_only_no_fulltext_repair</x:v>
      </x:c>
      <x:c r="G33" s="29" t="str">
        <x:v>active extraction route uses the public abstract; no full-text artifact is required</x:v>
      </x:c>
      <x:c r="H33" s="30" t="str">
        <x:v>https://doi.org/10.1007/s00213-023-06482-9</x:v>
      </x:c>
    </x:row>
    <x:row r="34" ht="198" hidden="0" customHeight="1">
      <x:c r="A34" s="28" t="str">
        <x:v>10.1007/s00213-023-06514-4</x:v>
      </x:c>
      <x:c r="B34" s="29" t="str">
        <x:v>Ketamine produces no detectable long-term positive or negative effects on cognitive flexibility or reinforcement learning of male rats</x:v>
      </x:c>
      <x:c r="C34" s="29" t="str">
        <x:v>primary</x:v>
      </x:c>
      <x:c r="D34" s="29" t="n">
        <x:v>3</x:v>
      </x:c>
      <x:c r="E34" s="29" t="str">
        <x:v>P0_existing_kg_and_retained</x:v>
      </x:c>
      <x:c r="F34" s="29" t="str">
        <x:v>abstract_only_no_fulltext_repair</x:v>
      </x:c>
      <x:c r="G34" s="29" t="str">
        <x:v>active extraction route uses the public abstract; no full-text artifact is required</x:v>
      </x:c>
      <x:c r="H34" s="30" t="str">
        <x:v>https://doi.org/10.1007/s00213-023-06514-4</x:v>
      </x:c>
    </x:row>
    <x:row r="35" ht="158.39999389648438" hidden="0" customHeight="1">
      <x:c r="A35" s="28" t="str">
        <x:v>10.1007/s00213-023-06517-1</x:v>
      </x:c>
      <x:c r="B35" s="29" t="str">
        <x:v>5-MeO-DMT: An atypical psychedelic with unique pharmacology, phenomenology &amp;amp; risk?</x:v>
      </x:c>
      <x:c r="C35" s="29" t="str">
        <x:v>review</x:v>
      </x:c>
      <x:c r="D35" s="29" t="n">
        <x:v>0</x:v>
      </x:c>
      <x:c r="E35" s="29" t="str">
        <x:v>P2_retained_candidate</x:v>
      </x:c>
      <x:c r="F35" s="29" t="str">
        <x:v>abstract_only_no_fulltext_repair</x:v>
      </x:c>
      <x:c r="G35" s="29" t="str">
        <x:v>active extraction route uses the public abstract; no full-text artifact is required</x:v>
      </x:c>
      <x:c r="H35" s="30" t="str">
        <x:v>https://doi.org/10.1007/s00213-023-06517-1</x:v>
      </x:c>
    </x:row>
    <x:row r="36" ht="132" hidden="0" customHeight="1">
      <x:c r="A36" s="28" t="str">
        <x:v>10.1007/s00213-024-06572-2</x:v>
      </x:c>
      <x:c r="B36" s="29" t="str">
        <x:v>Noribogaine acute administration in rats promotes wakefulness and suppresses REM sleep</x:v>
      </x:c>
      <x:c r="C36" s="29" t="str">
        <x:v>primary</x:v>
      </x:c>
      <x:c r="D36" s="29" t="n">
        <x:v>6</x:v>
      </x:c>
      <x:c r="E36" s="29" t="str">
        <x:v>P0_existing_kg_and_retained</x:v>
      </x:c>
      <x:c r="F36" s="29" t="str">
        <x:v>abstract_only_no_fulltext_repair</x:v>
      </x:c>
      <x:c r="G36" s="29" t="str">
        <x:v>active extraction route uses the public abstract; no full-text artifact is required</x:v>
      </x:c>
      <x:c r="H36" s="30" t="str">
        <x:v>https://doi.org/10.1007/s00213-024-06572-2</x:v>
      </x:c>
    </x:row>
    <x:row r="37" ht="118.80000305175781" hidden="0" customHeight="1">
      <x:c r="A37" s="28" t="str">
        <x:v>10.1007/s00213-024-06620-x</x:v>
      </x:c>
      <x:c r="B37" s="29" t="str">
        <x:v>Psychedelic-assisted psychotherapy: where is the psychotherapy research?</x:v>
      </x:c>
      <x:c r="C37" s="29" t="str">
        <x:v>review</x:v>
      </x:c>
      <x:c r="D37" s="29" t="n">
        <x:v>0</x:v>
      </x:c>
      <x:c r="E37" s="29" t="str">
        <x:v>P2_retained_candidate</x:v>
      </x:c>
      <x:c r="F37" s="29" t="str">
        <x:v>abstract_only_no_fulltext_repair</x:v>
      </x:c>
      <x:c r="G37" s="29" t="str">
        <x:v>active extraction route uses the public abstract; no full-text artifact is required</x:v>
      </x:c>
      <x:c r="H37" s="30" t="str">
        <x:v>https://doi.org/10.1007/s00213-024-06620-x</x:v>
      </x:c>
    </x:row>
    <x:row r="38" ht="250.8000030517578" hidden="0" customHeight="1">
      <x:c r="A38" s="28" t="str">
        <x:v>10.1007/s00213-024-06635-4</x:v>
      </x:c>
      <x:c r="B38" s="29" t="str">
        <x:v>5-hydroxytryptamine 2C/1A receptors modulate the biphasic dose response of the head twitch response and locomotor activity induced by DOM in mice</x:v>
      </x:c>
      <x:c r="C38" s="29" t="str">
        <x:v>primary</x:v>
      </x:c>
      <x:c r="D38" s="29" t="n">
        <x:v>0</x:v>
      </x:c>
      <x:c r="E38" s="29" t="str">
        <x:v>P2_retained_candidate</x:v>
      </x:c>
      <x:c r="F38" s="29" t="str">
        <x:v>abstract_only_no_fulltext_repair</x:v>
      </x:c>
      <x:c r="G38" s="29" t="str">
        <x:v>active extraction route uses the public abstract; no full-text artifact is required</x:v>
      </x:c>
      <x:c r="H38" s="30" t="str">
        <x:v>https://doi.org/10.1007/s00213-024-06635-4</x:v>
      </x:c>
    </x:row>
    <x:row r="39" ht="118.80000305175781" hidden="0" customHeight="1">
      <x:c r="A39" s="28" t="str">
        <x:v>10.1007/s00213-024-06720-8</x:v>
      </x:c>
      <x:c r="B39" s="29" t="str">
        <x:v>Ketamine differentially affects implicit and explicit memory processes in rats</x:v>
      </x:c>
      <x:c r="C39" s="29" t="str">
        <x:v>primary</x:v>
      </x:c>
      <x:c r="D39" s="29" t="n">
        <x:v>3</x:v>
      </x:c>
      <x:c r="E39" s="29" t="str">
        <x:v>P0_existing_kg_and_retained</x:v>
      </x:c>
      <x:c r="F39" s="29" t="str">
        <x:v>abstract_only_no_fulltext_repair</x:v>
      </x:c>
      <x:c r="G39" s="29" t="str">
        <x:v>active extraction route uses the public abstract; no full-text artifact is required</x:v>
      </x:c>
      <x:c r="H39" s="30" t="str">
        <x:v>https://doi.org/10.1007/s00213-024-06720-8</x:v>
      </x:c>
    </x:row>
    <x:row r="40" ht="118.80000305175781" hidden="0" customHeight="1">
      <x:c r="A40" s="28" t="str">
        <x:v>10.1007/s00213-025-06907-7</x:v>
      </x:c>
      <x:c r="B40" s="29" t="str">
        <x:v>Provider perspectives on challenges in treatment during psychedelic therapy</x:v>
      </x:c>
      <x:c r="C40" s="29" t="str">
        <x:v>primary</x:v>
      </x:c>
      <x:c r="D40" s="29" t="n">
        <x:v>0</x:v>
      </x:c>
      <x:c r="E40" s="29" t="str">
        <x:v>P2_retained_candidate</x:v>
      </x:c>
      <x:c r="F40" s="29" t="str">
        <x:v>abstract_only_no_fulltext_repair</x:v>
      </x:c>
      <x:c r="G40" s="29" t="str">
        <x:v>active extraction route uses the public abstract; no full-text artifact is required</x:v>
      </x:c>
      <x:c r="H40" s="30" t="str">
        <x:v>https://doi.org/10.1007/s00213-025-06907-7</x:v>
      </x:c>
    </x:row>
    <x:row r="41" ht="250.8000030517578" hidden="0" customHeight="1">
      <x:c r="A41" s="28" t="str">
        <x:v>10.1007/s00213-025-06913-9</x:v>
      </x:c>
      <x:c r="B41" s="29" t="str">
        <x:v>Daily self-assessment within a regimen of microdosing indicates enhanced psychological functioning on microdosing days relative to non-microdosing days</x:v>
      </x:c>
      <x:c r="C41" s="29" t="str">
        <x:v>primary</x:v>
      </x:c>
      <x:c r="D41" s="29" t="n">
        <x:v>0</x:v>
      </x:c>
      <x:c r="E41" s="29" t="str">
        <x:v>P2_retained_candidate</x:v>
      </x:c>
      <x:c r="F41" s="29" t="str">
        <x:v>abstract_only_no_fulltext_repair</x:v>
      </x:c>
      <x:c r="G41" s="29" t="str">
        <x:v>active extraction route uses the public abstract; no full-text artifact is required</x:v>
      </x:c>
      <x:c r="H41" s="30" t="str">
        <x:v>https://doi.org/10.1007/s00213-025-06913-9</x:v>
      </x:c>
    </x:row>
    <x:row r="42" ht="224.39999389648438" hidden="0" customHeight="1">
      <x:c r="A42" s="28" t="str">
        <x:v>10.1007/s00213-025-06924-6</x:v>
      </x:c>
      <x:c r="B42" s="29" t="str">
        <x:v>The effects of low-dose ketamine and (2R,6R)-Hydroxynorketamine on affective behaviors associated with protracted oxycodone withdrawal</x:v>
      </x:c>
      <x:c r="C42" s="29" t="str">
        <x:v>primary</x:v>
      </x:c>
      <x:c r="D42" s="29" t="n">
        <x:v>6</x:v>
      </x:c>
      <x:c r="E42" s="29" t="str">
        <x:v>P0_existing_kg_and_retained</x:v>
      </x:c>
      <x:c r="F42" s="29" t="str">
        <x:v>abstract_only_no_fulltext_repair</x:v>
      </x:c>
      <x:c r="G42" s="29" t="str">
        <x:v>active extraction route uses the public abstract; no full-text artifact is required</x:v>
      </x:c>
      <x:c r="H42" s="30" t="str">
        <x:v>https://doi.org/10.1007/s00213-025-06924-6</x:v>
      </x:c>
    </x:row>
    <x:row r="43" ht="145.1999969482422" hidden="0" customHeight="1">
      <x:c r="A43" s="28" t="str">
        <x:v>10.1007/s00213-025-06946-0</x:v>
      </x:c>
      <x:c r="B43" s="29" t="str">
        <x:v>Ayahuasca prevents the reinstatement of cocaine-induced rewarding effects in C57Bl/6 mice</x:v>
      </x:c>
      <x:c r="C43" s="29" t="str">
        <x:v>primary</x:v>
      </x:c>
      <x:c r="D43" s="29" t="n">
        <x:v>4</x:v>
      </x:c>
      <x:c r="E43" s="29" t="str">
        <x:v>P0_existing_kg_and_retained</x:v>
      </x:c>
      <x:c r="F43" s="29" t="str">
        <x:v>abstract_only_no_fulltext_repair</x:v>
      </x:c>
      <x:c r="G43" s="29" t="str">
        <x:v>active extraction route uses the public abstract; no full-text artifact is required</x:v>
      </x:c>
      <x:c r="H43" s="30" t="str">
        <x:v>https://doi.org/10.1007/s00213-025-06946-0</x:v>
      </x:c>
    </x:row>
    <x:row r="44" ht="198" hidden="0" customHeight="1">
      <x:c r="A44" s="28" t="str">
        <x:v>10.1007/s00213-025-06948-y</x:v>
      </x:c>
      <x:c r="B44" s="29" t="str">
        <x:v>Personality profiles and trauma history in ketamine therapy for mood and anxiety disorders: A latent profile analysis of short-term outcomes</x:v>
      </x:c>
      <x:c r="C44" s="29" t="str">
        <x:v>primary</x:v>
      </x:c>
      <x:c r="D44" s="29" t="n">
        <x:v>0</x:v>
      </x:c>
      <x:c r="E44" s="29" t="str">
        <x:v>P2_retained_candidate</x:v>
      </x:c>
      <x:c r="F44" s="29" t="str">
        <x:v>abstract_only_no_fulltext_repair</x:v>
      </x:c>
      <x:c r="G44" s="29" t="str">
        <x:v>active extraction route uses the public abstract; no full-text artifact is required</x:v>
      </x:c>
      <x:c r="H44" s="30" t="str">
        <x:v>https://doi.org/10.1007/s00213-025-06948-y</x:v>
      </x:c>
    </x:row>
    <x:row r="45" ht="171.60000610351562" hidden="0" customHeight="1">
      <x:c r="A45" s="28" t="str">
        <x:v>10.1007/s00213-025-06952-2</x:v>
      </x:c>
      <x:c r="B45" s="29" t="str">
        <x:v>Divergent effects of ketamine and psilocybin on EEG power spectral density in a mismatch negativity paradigm</x:v>
      </x:c>
      <x:c r="C45" s="29" t="str">
        <x:v>primary</x:v>
      </x:c>
      <x:c r="D45" s="29" t="n">
        <x:v>5</x:v>
      </x:c>
      <x:c r="E45" s="29" t="str">
        <x:v>P0_existing_kg_and_retained</x:v>
      </x:c>
      <x:c r="F45" s="29" t="str">
        <x:v>abstract_only_no_fulltext_repair</x:v>
      </x:c>
      <x:c r="G45" s="29" t="str">
        <x:v>active extraction route uses the public abstract; no full-text artifact is required</x:v>
      </x:c>
      <x:c r="H45" s="30" t="str">
        <x:v>https://doi.org/10.1007/s00213-025-06952-2</x:v>
      </x:c>
    </x:row>
    <x:row r="46" ht="211.1999969482422" hidden="0" customHeight="1">
      <x:c r="A46" s="28" t="str">
        <x:v>10.1007/s00213-025-06974-w</x:v>
      </x:c>
      <x:c r="B46" s="29" t="str">
        <x:v>Ketamine attenuates anxiety-like behavior and oxidative imbalance in the maternal immune activation model: emphasis on the cerebellum</x:v>
      </x:c>
      <x:c r="C46" s="29" t="str">
        <x:v>primary</x:v>
      </x:c>
      <x:c r="D46" s="29" t="n">
        <x:v>4</x:v>
      </x:c>
      <x:c r="E46" s="29" t="str">
        <x:v>P0_existing_kg_and_retained</x:v>
      </x:c>
      <x:c r="F46" s="29" t="str">
        <x:v>abstract_only_no_fulltext_repair</x:v>
      </x:c>
      <x:c r="G46" s="29" t="str">
        <x:v>active extraction route uses the public abstract; no full-text artifact is required</x:v>
      </x:c>
      <x:c r="H46" s="30" t="str">
        <x:v>https://doi.org/10.1007/s00213-025-06974-w</x:v>
      </x:c>
    </x:row>
    <x:row r="47" ht="343.20001220703125" hidden="0" customHeight="1">
      <x:c r="A47" s="28" t="str">
        <x:v>10.1007/s00213-026-07016-9</x:v>
      </x:c>
      <x:c r="B47" s="29" t="str">
        <x:v>Effectiveness of intranasal esketamine in the treatment of patients with treatment-resistant depression: an observational study based on data collected in a Spravato treatment program at the Institute of Living, Hartford, CT</x:v>
      </x:c>
      <x:c r="C47" s="29" t="str">
        <x:v>primary</x:v>
      </x:c>
      <x:c r="D47" s="29" t="n">
        <x:v>0</x:v>
      </x:c>
      <x:c r="E47" s="29" t="str">
        <x:v>P2_retained_candidate</x:v>
      </x:c>
      <x:c r="F47" s="29" t="str">
        <x:v>abstract_only_no_fulltext_repair</x:v>
      </x:c>
      <x:c r="G47" s="29" t="str">
        <x:v>active extraction route uses the public abstract; no full-text artifact is required</x:v>
      </x:c>
      <x:c r="H47" s="30" t="str">
        <x:v>https://doi.org/10.1007/s00213-026-07016-9</x:v>
      </x:c>
    </x:row>
    <x:row r="48" ht="330" hidden="0" customHeight="1">
      <x:c r="A48" s="28" t="str">
        <x:v>10.1007/s00213-026-07089-6</x:v>
      </x:c>
      <x:c r="B48" s="29" t="str">
        <x:v>Shorter to be effective: subanesthetic-dose ketamine infusion reduces the global and regional path length of brain functional connectivity in patients with treatment-resistant depression and suicidal ideation</x:v>
      </x:c>
      <x:c r="C48" s="29" t="str">
        <x:v>primary</x:v>
      </x:c>
      <x:c r="D48" s="29" t="n">
        <x:v>0</x:v>
      </x:c>
      <x:c r="E48" s="29" t="str">
        <x:v>P2_retained_candidate</x:v>
      </x:c>
      <x:c r="F48" s="29" t="str">
        <x:v>abstract_only_no_fulltext_repair</x:v>
      </x:c>
      <x:c r="G48" s="29" t="str">
        <x:v>active extraction route uses the public abstract; no full-text artifact is required</x:v>
      </x:c>
      <x:c r="H48" s="30" t="str">
        <x:v>https://doi.org/10.1007/s00213-026-07089-6</x:v>
      </x:c>
    </x:row>
    <x:row r="49" ht="184.8000030517578" hidden="0" customHeight="1">
      <x:c r="A49" s="28" t="str">
        <x:v>10.1007/s00216-023-04556-3</x:v>
      </x:c>
      <x:c r="B49" s="29" t="str">
        <x:v>Understanding ayahuasca effects in major depressive disorder treatment through in vitro metabolomics and bioinformatics</x:v>
      </x:c>
      <x:c r="C49" s="29" t="str">
        <x:v>primary</x:v>
      </x:c>
      <x:c r="D49" s="29" t="n">
        <x:v>0</x:v>
      </x:c>
      <x:c r="E49" s="29" t="str">
        <x:v>P1_existing_kg_or_curated_signal</x:v>
      </x:c>
      <x:c r="F49" s="29" t="str">
        <x:v>abstract_only_no_fulltext_repair</x:v>
      </x:c>
      <x:c r="G49" s="29" t="str">
        <x:v>active extraction route uses the public abstract; no full-text artifact is required</x:v>
      </x:c>
      <x:c r="H49" s="30" t="str">
        <x:v>https://doi.org/10.1007/s00216-023-04556-3</x:v>
      </x:c>
    </x:row>
    <x:row r="50" ht="158.39999389648438" hidden="0" customHeight="1">
      <x:c r="A50" s="28" t="str">
        <x:v>10.1007/s00228-020-03047-z</x:v>
      </x:c>
      <x:c r="B50" s="29" t="str">
        <x:v>Influence of formulation and route of administration on ketamine’s safety and tolerability: systematic review</x:v>
      </x:c>
      <x:c r="C50" s="29" t="str">
        <x:v>systematic_review</x:v>
      </x:c>
      <x:c r="D50" s="29" t="n">
        <x:v>0</x:v>
      </x:c>
      <x:c r="E50" s="29" t="str">
        <x:v>P2_retained_candidate</x:v>
      </x:c>
      <x:c r="F50" s="29" t="str">
        <x:v>abstract_only_no_fulltext_repair</x:v>
      </x:c>
      <x:c r="G50" s="29" t="str">
        <x:v>active extraction route uses the public abstract; no full-text artifact is required</x:v>
      </x:c>
      <x:c r="H50" s="30" t="str">
        <x:v>https://doi.org/10.1007/s00228-020-03047-z</x:v>
      </x:c>
    </x:row>
    <x:row r="51" ht="184.8000030517578" hidden="0" customHeight="1">
      <x:c r="A51" s="28" t="str">
        <x:v>10.1007/s00228-021-03216-8</x:v>
      </x:c>
      <x:c r="B51" s="29" t="str">
        <x:v>Use of ketamine and esketamine for depression: an overview of systematic reviews with meta-analyses</x:v>
      </x:c>
      <x:c r="C51" s="29" t="str">
        <x:v>umbrella_review</x:v>
      </x:c>
      <x:c r="D51" s="29" t="n">
        <x:v>0</x:v>
      </x:c>
      <x:c r="E51" s="29" t="str">
        <x:v>P1_existing_kg_or_curated_signal</x:v>
      </x:c>
      <x:c r="F51" s="29" t="str">
        <x:v>abstract_only_no_fulltext_repair</x:v>
      </x:c>
      <x:c r="G51" s="29" t="str">
        <x:v>active extraction route uses the public abstract; no full-text artifact is required</x:v>
      </x:c>
      <x:c r="H51" s="30" t="str">
        <x:v>https://doi.org/10.1007/s00228-021-03216-8</x:v>
      </x:c>
    </x:row>
    <x:row r="52" ht="211.1999969482422" hidden="0" customHeight="1">
      <x:c r="A52" s="28" t="str">
        <x:v>10.1007/s00228-023-03605-1</x:v>
      </x:c>
      <x:c r="B52" s="29" t="str">
        <x:v>A systematic review and meta-analysis of the efficacy of ketamine and esketamine on suicidal ideation in treatment-resistant depression</x:v>
      </x:c>
      <x:c r="C52" s="29" t="str">
        <x:v>meta_analysis</x:v>
      </x:c>
      <x:c r="D52" s="29" t="n">
        <x:v>0</x:v>
      </x:c>
      <x:c r="E52" s="29" t="str">
        <x:v>P1_existing_kg_or_curated_signal</x:v>
      </x:c>
      <x:c r="F52" s="29" t="str">
        <x:v>abstract_only_no_fulltext_repair</x:v>
      </x:c>
      <x:c r="G52" s="29" t="str">
        <x:v>active extraction route uses the public abstract; no full-text artifact is required</x:v>
      </x:c>
      <x:c r="H52" s="30" t="str">
        <x:v>https://doi.org/10.1007/s00228-023-03605-1</x:v>
      </x:c>
    </x:row>
    <x:row r="53" ht="132" hidden="0" customHeight="1">
      <x:c r="A53" s="28" t="str">
        <x:v>10.1007/s00406-020-01110-5</x:v>
      </x:c>
      <x:c r="B53" s="29" t="str">
        <x:v>Intravenous arketamine for treatment-resistant depression: open-label pilot study</x:v>
      </x:c>
      <x:c r="C53" s="29" t="str">
        <x:v>primary</x:v>
      </x:c>
      <x:c r="D53" s="29" t="n">
        <x:v>0</x:v>
      </x:c>
      <x:c r="E53" s="29" t="str">
        <x:v>P1_existing_kg_or_curated_signal</x:v>
      </x:c>
      <x:c r="F53" s="29" t="str">
        <x:v>abstract_only_no_fulltext_repair</x:v>
      </x:c>
      <x:c r="G53" s="29" t="str">
        <x:v>active extraction route uses the public abstract; no full-text artifact is required</x:v>
      </x:c>
      <x:c r="H53" s="30" t="str">
        <x:v>https://doi.org/10.1007/s00406-020-01110-5</x:v>
      </x:c>
    </x:row>
    <x:row r="54" ht="237.60000610351562" hidden="0" customHeight="1">
      <x:c r="A54" s="28" t="str">
        <x:v>10.1007/s00406-021-01267-7</x:v>
      </x:c>
      <x:c r="B54" s="29" t="str">
        <x:v>Effects of ayahuasca and its alkaloids on substance use disorders: an updated (2016–2020) systematic review of preclinical and human studies</x:v>
      </x:c>
      <x:c r="C54" s="29" t="str">
        <x:v>systematic_review</x:v>
      </x:c>
      <x:c r="D54" s="29" t="n">
        <x:v>0</x:v>
      </x:c>
      <x:c r="E54" s="29" t="str">
        <x:v>P2_retained_candidate</x:v>
      </x:c>
      <x:c r="F54" s="29" t="str">
        <x:v>abstract_only_no_fulltext_repair</x:v>
      </x:c>
      <x:c r="G54" s="29" t="str">
        <x:v>active extraction route uses the public abstract; no full-text artifact is required</x:v>
      </x:c>
      <x:c r="H54" s="30" t="str">
        <x:v>https://doi.org/10.1007/s00406-021-01267-7</x:v>
      </x:c>
    </x:row>
    <x:row r="55" ht="184.8000030517578" hidden="0" customHeight="1">
      <x:c r="A55" s="28" t="str">
        <x:v>10.1007/s00406-023-01561-6</x:v>
      </x:c>
      <x:c r="B55" s="29" t="str">
        <x:v>mGlu2/3 receptor antagonists for depression: overview of underlying mechanisms and clinical development</x:v>
      </x:c>
      <x:c r="C55" s="29" t="str">
        <x:v>review</x:v>
      </x:c>
      <x:c r="D55" s="29" t="n">
        <x:v>0</x:v>
      </x:c>
      <x:c r="E55" s="29" t="str">
        <x:v>P2_retained_candidate</x:v>
      </x:c>
      <x:c r="F55" s="29" t="str">
        <x:v>abstract_only_no_fulltext_repair</x:v>
      </x:c>
      <x:c r="G55" s="29" t="str">
        <x:v>active extraction route uses the public abstract; no full-text artifact is required</x:v>
      </x:c>
      <x:c r="H55" s="30" t="str">
        <x:v>https://doi.org/10.1007/s00406-023-01561-6</x:v>
      </x:c>
    </x:row>
    <x:row r="56" ht="184.8000030517578" hidden="0" customHeight="1">
      <x:c r="A56" s="28" t="str">
        <x:v>10.1007/s00406-023-01629-3</x:v>
      </x:c>
      <x:c r="B56" s="29" t="str">
        <x:v>(R)-ketamine attenuates neurodevelopmental disease-related phenotypes in a mouse model of maternal immune activation</x:v>
      </x:c>
      <x:c r="C56" s="29" t="str">
        <x:v>primary</x:v>
      </x:c>
      <x:c r="D56" s="29" t="n">
        <x:v>4</x:v>
      </x:c>
      <x:c r="E56" s="29" t="str">
        <x:v>P0_existing_kg_and_retained</x:v>
      </x:c>
      <x:c r="F56" s="29" t="str">
        <x:v>abstract_only_no_fulltext_repair</x:v>
      </x:c>
      <x:c r="G56" s="29" t="str">
        <x:v>active extraction route uses the public abstract; no full-text artifact is required</x:v>
      </x:c>
      <x:c r="H56" s="30" t="str">
        <x:v>https://doi.org/10.1007/s00406-023-01629-3</x:v>
      </x:c>
    </x:row>
    <x:row r="57" ht="158.39999389648438" hidden="0" customHeight="1">
      <x:c r="A57" s="28" t="str">
        <x:v>10.1007/s00406-023-01732-5</x:v>
      </x:c>
      <x:c r="B57" s="29" t="str">
        <x:v>The correlation of Esketamine with specific adverse events: a deep dive into the FAERS database</x:v>
      </x:c>
      <x:c r="C57" s="29" t="str">
        <x:v>primary</x:v>
      </x:c>
      <x:c r="D57" s="29" t="n">
        <x:v>0</x:v>
      </x:c>
      <x:c r="E57" s="29" t="str">
        <x:v>P2_retained_candidate</x:v>
      </x:c>
      <x:c r="F57" s="29" t="str">
        <x:v>abstract_only_no_fulltext_repair</x:v>
      </x:c>
      <x:c r="G57" s="29" t="str">
        <x:v>active extraction route uses the public abstract; no full-text artifact is required</x:v>
      </x:c>
      <x:c r="H57" s="30" t="str">
        <x:v>https://doi.org/10.1007/s00406-023-01732-5</x:v>
      </x:c>
    </x:row>
    <x:row r="58" ht="132" hidden="0" customHeight="1">
      <x:c r="A58" s="28" t="str">
        <x:v>10.1007/s00406-024-01809-9</x:v>
      </x:c>
      <x:c r="B58" s="29" t="str">
        <x:v>Ketamine and its enantiomers for depression: a bibliometric analysis from 2000 to 2023</x:v>
      </x:c>
      <x:c r="C58" s="29" t="str">
        <x:v>review</x:v>
      </x:c>
      <x:c r="D58" s="29" t="n">
        <x:v>0</x:v>
      </x:c>
      <x:c r="E58" s="29" t="str">
        <x:v>P2_retained_candidate</x:v>
      </x:c>
      <x:c r="F58" s="29" t="str">
        <x:v>abstract_only_no_fulltext_repair</x:v>
      </x:c>
      <x:c r="G58" s="29" t="str">
        <x:v>active extraction route uses the public abstract; no full-text artifact is required</x:v>
      </x:c>
      <x:c r="H58" s="30" t="str">
        <x:v>https://doi.org/10.1007/s00406-024-01809-9</x:v>
      </x:c>
    </x:row>
    <x:row r="59" ht="250.8000030517578" hidden="0" customHeight="1">
      <x:c r="A59" s="28" t="str">
        <x:v>10.1007/s00406-024-01920-x</x:v>
      </x:c>
      <x:c r="B59" s="29" t="str">
        <x:v>Efficacy of racemic ketamine or esketamine monotherapy for reducing suicidal ideation in uni- or bipolar depression: a systematic review and meta-analysis</x:v>
      </x:c>
      <x:c r="C59" s="29" t="str">
        <x:v>meta_analysis</x:v>
      </x:c>
      <x:c r="D59" s="29" t="n">
        <x:v>0</x:v>
      </x:c>
      <x:c r="E59" s="29" t="str">
        <x:v>P1_existing_kg_or_curated_signal</x:v>
      </x:c>
      <x:c r="F59" s="29" t="str">
        <x:v>abstract_only_no_fulltext_repair</x:v>
      </x:c>
      <x:c r="G59" s="29" t="str">
        <x:v>active extraction route uses the public abstract; no full-text artifact is required</x:v>
      </x:c>
      <x:c r="H59" s="30" t="str">
        <x:v>https://doi.org/10.1007/s00406-024-01920-x</x:v>
      </x:c>
    </x:row>
    <x:row r="60" ht="211.1999969482422" hidden="0" customHeight="1">
      <x:c r="A60" s="28" t="str">
        <x:v>10.1007/s00406-024-01925-6</x:v>
      </x:c>
      <x:c r="B60" s="29" t="str">
        <x:v>Ketamine-induced altered states of consciousness: a systematic review of implications for therapeutic outcomes in psychiatric practices</x:v>
      </x:c>
      <x:c r="C60" s="29" t="str">
        <x:v>systematic_review</x:v>
      </x:c>
      <x:c r="D60" s="29" t="n">
        <x:v>0</x:v>
      </x:c>
      <x:c r="E60" s="29" t="str">
        <x:v>P2_retained_candidate</x:v>
      </x:c>
      <x:c r="F60" s="29" t="str">
        <x:v>abstract_only_no_fulltext_repair</x:v>
      </x:c>
      <x:c r="G60" s="29" t="str">
        <x:v>active extraction route uses the public abstract; no full-text artifact is required</x:v>
      </x:c>
      <x:c r="H60" s="30" t="str">
        <x:v>https://doi.org/10.1007/s00406-024-01925-6</x:v>
      </x:c>
    </x:row>
    <x:row r="61" ht="105.5999984741211" hidden="0" customHeight="1">
      <x:c r="A61" s="28" t="str">
        <x:v>10.1007/s00406-024-01945-2</x:v>
      </x:c>
      <x:c r="B61" s="29" t="str">
        <x:v>Arketamine: a scoping review of its use in humans</x:v>
      </x:c>
      <x:c r="C61" s="29" t="str">
        <x:v>scoping_review</x:v>
      </x:c>
      <x:c r="D61" s="29" t="n">
        <x:v>0</x:v>
      </x:c>
      <x:c r="E61" s="29" t="str">
        <x:v>P2_retained_candidate</x:v>
      </x:c>
      <x:c r="F61" s="29" t="str">
        <x:v>abstract_only_no_fulltext_repair</x:v>
      </x:c>
      <x:c r="G61" s="29" t="str">
        <x:v>active extraction route uses the public abstract; no full-text artifact is required</x:v>
      </x:c>
      <x:c r="H61" s="30" t="str">
        <x:v>https://doi.org/10.1007/s00406-024-01945-2</x:v>
      </x:c>
    </x:row>
    <x:row r="62" ht="184.8000030517578" hidden="0" customHeight="1">
      <x:c r="A62" s="28" t="str">
        <x:v>10.1007/s00414-022-02850-w</x:v>
      </x:c>
      <x:c r="B62" s="29" t="str">
        <x:v>Hidden administration of 5-APB in a dancing club of New Caledonia documented by urine analysis: about 3 cases</x:v>
      </x:c>
      <x:c r="C62" s="29" t="str">
        <x:v>primary</x:v>
      </x:c>
      <x:c r="D62" s="29" t="n">
        <x:v>4</x:v>
      </x:c>
      <x:c r="E62" s="29" t="str">
        <x:v>P0_existing_kg_and_retained</x:v>
      </x:c>
      <x:c r="F62" s="29" t="str">
        <x:v>abstract_only_no_fulltext_repair</x:v>
      </x:c>
      <x:c r="G62" s="29" t="str">
        <x:v>active extraction route uses the public abstract; no full-text artifact is required</x:v>
      </x:c>
      <x:c r="H62" s="30" t="str">
        <x:v>https://doi.org/10.1007/s00414-022-02850-w</x:v>
      </x:c>
    </x:row>
    <x:row r="63" ht="118.80000305175781" hidden="0" customHeight="1">
      <x:c r="A63" s="28" t="str">
        <x:v>10.1007/s00429-023-02740-w</x:v>
      </x:c>
      <x:c r="B63" s="29" t="str">
        <x:v>Cultural Differences and Information Technology Acceptance</x:v>
      </x:c>
      <x:c r="C63" s="29" t="str">
        <x:v>primary</x:v>
      </x:c>
      <x:c r="D63" s="29" t="n">
        <x:v>2</x:v>
      </x:c>
      <x:c r="E63" s="29" t="str">
        <x:v>P0_existing_kg_and_retained</x:v>
      </x:c>
      <x:c r="F63" s="29" t="str">
        <x:v>abstract_only_no_fulltext_repair</x:v>
      </x:c>
      <x:c r="G63" s="29" t="str">
        <x:v>active extraction route uses the public abstract; no full-text artifact is required</x:v>
      </x:c>
      <x:c r="H63" s="30" t="str">
        <x:v>https://doi.org/10.1007/s00429-023-02740-w</x:v>
      </x:c>
    </x:row>
    <x:row r="64" ht="158.39999389648438" hidden="0" customHeight="1">
      <x:c r="A64" s="28" t="str">
        <x:v>10.1007/s00702-024-02793-z</x:v>
      </x:c>
      <x:c r="B64" s="29" t="str">
        <x:v>Effects of association between resveratrol and ketamine on behavioral and biochemical analysis in mice</x:v>
      </x:c>
      <x:c r="C64" s="29" t="str">
        <x:v>primary</x:v>
      </x:c>
      <x:c r="D64" s="29" t="n">
        <x:v>0</x:v>
      </x:c>
      <x:c r="E64" s="29" t="str">
        <x:v>P2_retained_candidate</x:v>
      </x:c>
      <x:c r="F64" s="29" t="str">
        <x:v>abstract_only_no_fulltext_repair</x:v>
      </x:c>
      <x:c r="G64" s="29" t="str">
        <x:v>active extraction route uses the public abstract; no full-text artifact is required</x:v>
      </x:c>
      <x:c r="H64" s="30" t="str">
        <x:v>https://doi.org/10.1007/s00702-024-02793-z</x:v>
      </x:c>
    </x:row>
    <x:row r="65" ht="224.39999389648438" hidden="0" customHeight="1">
      <x:c r="A65" s="28" t="str">
        <x:v>10.1007/s10552-026-02172-x</x:v>
      </x:c>
      <x:c r="B65" s="29" t="str">
        <x:v>Classic psychedelic and cannabis use among U.S. cancer survivors aged ≥ 50 years: nationally representative estimates by cancer type/site</x:v>
      </x:c>
      <x:c r="C65" s="29" t="str">
        <x:v>primary</x:v>
      </x:c>
      <x:c r="D65" s="29" t="n">
        <x:v>0</x:v>
      </x:c>
      <x:c r="E65" s="29" t="str">
        <x:v>P2_retained_candidate</x:v>
      </x:c>
      <x:c r="F65" s="29" t="str">
        <x:v>abstract_only_no_fulltext_repair</x:v>
      </x:c>
      <x:c r="G65" s="29" t="str">
        <x:v>active extraction route uses the public abstract; no full-text artifact is required</x:v>
      </x:c>
      <x:c r="H65" s="30" t="str">
        <x:v>https://doi.org/10.1007/s10552-026-02172-x</x:v>
      </x:c>
    </x:row>
    <x:row r="66" ht="290.3999938964844" hidden="0" customHeight="1">
      <x:c r="A66" s="28" t="str">
        <x:v>10.1007/s10803-020-04542-z</x:v>
      </x:c>
      <x:c r="B66" s="29" t="str">
        <x:v>Brief Report: Intranasal Ketamine in Adolescents and Young Adults with Autism Spectrum Disorder—Initial Results of a Randomized, Controlled, Crossover, Pilot Study</x:v>
      </x:c>
      <x:c r="C66" s="29" t="str">
        <x:v>primary</x:v>
      </x:c>
      <x:c r="D66" s="29" t="n">
        <x:v>3</x:v>
      </x:c>
      <x:c r="E66" s="29" t="str">
        <x:v>P0_existing_kg_and_retained</x:v>
      </x:c>
      <x:c r="F66" s="29" t="str">
        <x:v>abstract_only_no_fulltext_repair</x:v>
      </x:c>
      <x:c r="G66" s="29" t="str">
        <x:v>active extraction route uses the public abstract; no full-text artifact is required</x:v>
      </x:c>
      <x:c r="H66" s="30" t="str">
        <x:v>https://doi.org/10.1007/s10803-020-04542-z</x:v>
      </x:c>
    </x:row>
    <x:row r="67" ht="118.80000305175781" hidden="0" customHeight="1">
      <x:c r="A67" s="28" t="str">
        <x:v>10.1007/s10974-025-09720-z</x:v>
      </x:c>
      <x:c r="B67" s="29" t="str">
        <x:v>A single S-ketamine injection enhances mTOR signaling in rat skeletal muscle</x:v>
      </x:c>
      <x:c r="C67" s="29" t="str">
        <x:v>primary</x:v>
      </x:c>
      <x:c r="D67" s="29" t="n">
        <x:v>0</x:v>
      </x:c>
      <x:c r="E67" s="29" t="str">
        <x:v>P2_retained_candidate</x:v>
      </x:c>
      <x:c r="F67" s="29" t="str">
        <x:v>abstract_only_no_fulltext_repair</x:v>
      </x:c>
      <x:c r="G67" s="29" t="str">
        <x:v>active extraction route uses the public abstract; no full-text artifact is required</x:v>
      </x:c>
      <x:c r="H67" s="30" t="str">
        <x:v>https://doi.org/10.1007/s10974-025-09720-z</x:v>
      </x:c>
    </x:row>
    <x:row r="68" ht="211.1999969482422" hidden="0" customHeight="1">
      <x:c r="A68" s="28" t="str">
        <x:v>10.1007/s11011-020-00547-w</x:v>
      </x:c>
      <x:c r="B68" s="29" t="str">
        <x:v>Toxicity of ayahuasca after 28 days daily exposure and effects on monoamines and brain-derived neurotrophic factor (BDNF) in brain of Wistar rats</x:v>
      </x:c>
      <x:c r="C68" s="29" t="str">
        <x:v>primary</x:v>
      </x:c>
      <x:c r="D68" s="29" t="n">
        <x:v>0</x:v>
      </x:c>
      <x:c r="E68" s="29" t="str">
        <x:v>P2_retained_candidate</x:v>
      </x:c>
      <x:c r="F68" s="29" t="str">
        <x:v>abstract_only_no_fulltext_repair</x:v>
      </x:c>
      <x:c r="G68" s="29" t="str">
        <x:v>active extraction route uses the public abstract; no full-text artifact is required</x:v>
      </x:c>
      <x:c r="H68" s="30" t="str">
        <x:v>https://doi.org/10.1007/s11011-020-00547-w</x:v>
      </x:c>
    </x:row>
    <x:row r="69" ht="184.8000030517578" hidden="0" customHeight="1">
      <x:c r="A69" s="28" t="str">
        <x:v>10.1007/s11011-023-01236-0</x:v>
      </x:c>
      <x:c r="B69" s="29" t="str">
        <x:v>Ketamine exerts dual effects on the apoptosis of primary cultured hippocampal neurons from fetal rats in vitro</x:v>
      </x:c>
      <x:c r="C69" s="29" t="str">
        <x:v>primary</x:v>
      </x:c>
      <x:c r="D69" s="29" t="n">
        <x:v>7</x:v>
      </x:c>
      <x:c r="E69" s="29" t="str">
        <x:v>P0_existing_kg_and_retained</x:v>
      </x:c>
      <x:c r="F69" s="29" t="str">
        <x:v>abstract_only_no_fulltext_repair</x:v>
      </x:c>
      <x:c r="G69" s="29" t="str">
        <x:v>active extraction route uses the public abstract; no full-text artifact is required</x:v>
      </x:c>
      <x:c r="H69" s="30" t="str">
        <x:v>https://doi.org/10.1007/s11011-023-01236-0</x:v>
      </x:c>
    </x:row>
    <x:row r="70" ht="198" hidden="0" customHeight="1">
      <x:c r="A70" s="28" t="str">
        <x:v>10.1007/s11064-022-03772-0</x:v>
      </x:c>
      <x:c r="B70" s="29" t="str">
        <x:v>The Missing Piece? A Case for Microglia’s Prominent Role in the Therapeutic Action of Anesthetics, Ketamine, and Psychedelics</x:v>
      </x:c>
      <x:c r="C70" s="29" t="str">
        <x:v>review</x:v>
      </x:c>
      <x:c r="D70" s="29" t="n">
        <x:v>0</x:v>
      </x:c>
      <x:c r="E70" s="29" t="str">
        <x:v>P2_retained_candidate</x:v>
      </x:c>
      <x:c r="F70" s="29" t="str">
        <x:v>abstract_only_no_fulltext_repair</x:v>
      </x:c>
      <x:c r="G70" s="29" t="str">
        <x:v>active extraction route uses the public abstract; no full-text artifact is required</x:v>
      </x:c>
      <x:c r="H70" s="30" t="str">
        <x:v>https://doi.org/10.1007/s11064-022-03772-0</x:v>
      </x:c>
    </x:row>
    <x:row r="71" ht="250.8000030517578" hidden="0" customHeight="1">
      <x:c r="A71" s="28" t="str">
        <x:v>10.1007/s11064-023-04055-y</x:v>
      </x:c>
      <x:c r="B71" s="29" t="str">
        <x:v>Modulation of DOM-Induced Head-Twitch Response by mGluR2 Agonist/Inverse Agonist is Associated with 5-HT2AR-Mediated Gs Signaling Pathway</x:v>
      </x:c>
      <x:c r="C71" s="29" t="str">
        <x:v>primary</x:v>
      </x:c>
      <x:c r="D71" s="29" t="n">
        <x:v>4</x:v>
      </x:c>
      <x:c r="E71" s="29" t="str">
        <x:v>P0_existing_kg_and_retained</x:v>
      </x:c>
      <x:c r="F71" s="29" t="str">
        <x:v>abstract_only_no_fulltext_repair</x:v>
      </x:c>
      <x:c r="G71" s="29" t="str">
        <x:v>active extraction route uses the public abstract; no full-text artifact is required</x:v>
      </x:c>
      <x:c r="H71" s="30" t="str">
        <x:v>https://doi.org/10.1007/s11064-023-04055-y</x:v>
      </x:c>
    </x:row>
    <x:row r="72" ht="290.3999938964844" hidden="0" customHeight="1">
      <x:c r="A72" s="28" t="str">
        <x:v>10.1007/s11064-025-04562-0</x:v>
      </x:c>
      <x:c r="B72" s="29" t="str">
        <x:v>Hesperidin Attenuates Chronic Stress-Induced Depression via 5-HT2A-Linked Modulation of Neurochemical, Oxidative, and Inflammatory Pathways: Experimental and In Silico Evidence</x:v>
      </x:c>
      <x:c r="C72" s="29" t="str">
        <x:v>primary</x:v>
      </x:c>
      <x:c r="D72" s="29" t="n">
        <x:v>0</x:v>
      </x:c>
      <x:c r="E72" s="29" t="str">
        <x:v>P2_retained_candidate</x:v>
      </x:c>
      <x:c r="F72" s="29" t="str">
        <x:v>abstract_only_no_fulltext_repair</x:v>
      </x:c>
      <x:c r="G72" s="29" t="str">
        <x:v>active extraction route uses the public abstract; no full-text artifact is required</x:v>
      </x:c>
      <x:c r="H72" s="30" t="str">
        <x:v>https://doi.org/10.1007/s11064-025-04562-0</x:v>
      </x:c>
    </x:row>
    <x:row r="73" ht="211.1999969482422" hidden="0" customHeight="1">
      <x:c r="A73" s="28" t="str">
        <x:v>10.1007/s11064-026-04764-0</x:v>
      </x:c>
      <x:c r="B73" s="29" t="str">
        <x:v>Glutathione as a Potential Neuroprotectant Against MDMA-Induced Oxidative Stress, Neuroinflammation, and Apoptosis in the Rat Brain</x:v>
      </x:c>
      <x:c r="C73" s="29" t="str">
        <x:v>primary</x:v>
      </x:c>
      <x:c r="D73" s="29" t="n">
        <x:v>7</x:v>
      </x:c>
      <x:c r="E73" s="29" t="str">
        <x:v>P0_existing_kg_and_retained</x:v>
      </x:c>
      <x:c r="F73" s="29" t="str">
        <x:v>abstract_only_no_fulltext_repair</x:v>
      </x:c>
      <x:c r="G73" s="29" t="str">
        <x:v>active extraction route uses the public abstract; no full-text artifact is required</x:v>
      </x:c>
      <x:c r="H73" s="30" t="str">
        <x:v>https://doi.org/10.1007/s11064-026-04764-0</x:v>
      </x:c>
    </x:row>
    <x:row r="74" ht="105.5999984741211" hidden="0" customHeight="1">
      <x:c r="A74" s="28" t="str">
        <x:v>10.1007/s11910-025-01446-2</x:v>
      </x:c>
      <x:c r="B74" s="29" t="str">
        <x:v>Psychedelics and Headache Disorders: an Update</x:v>
      </x:c>
      <x:c r="C74" s="29" t="str">
        <x:v>review</x:v>
      </x:c>
      <x:c r="D74" s="29" t="n">
        <x:v>0</x:v>
      </x:c>
      <x:c r="E74" s="29" t="str">
        <x:v>P2_retained_candidate</x:v>
      </x:c>
      <x:c r="F74" s="29" t="str">
        <x:v>abstract_only_no_fulltext_repair</x:v>
      </x:c>
      <x:c r="G74" s="29" t="str">
        <x:v>active extraction route uses the public abstract; no full-text artifact is required</x:v>
      </x:c>
      <x:c r="H74" s="30" t="str">
        <x:v>https://doi.org/10.1007/s11910-025-01446-2</x:v>
      </x:c>
    </x:row>
    <x:row r="75" ht="105.5999984741211" hidden="0" customHeight="1">
      <x:c r="A75" s="28" t="str">
        <x:v>10.1007/s11912-023-01373-w</x:v>
      </x:c>
      <x:c r="B75" s="29" t="str">
        <x:v>Recent Progress in Mind–Body Therapies in Cancer Care</x:v>
      </x:c>
      <x:c r="C75" s="29" t="str">
        <x:v>narrative_review</x:v>
      </x:c>
      <x:c r="D75" s="29" t="n">
        <x:v>0</x:v>
      </x:c>
      <x:c r="E75" s="29" t="str">
        <x:v>P2_retained_candidate</x:v>
      </x:c>
      <x:c r="F75" s="29" t="str">
        <x:v>abstract_only_no_fulltext_repair</x:v>
      </x:c>
      <x:c r="G75" s="29" t="str">
        <x:v>active extraction route uses the public abstract; no full-text artifact is required</x:v>
      </x:c>
      <x:c r="H75" s="30" t="str">
        <x:v>https://doi.org/10.1007/s11912-023-01373-w</x:v>
      </x:c>
    </x:row>
    <x:row r="76" ht="171.60000610351562" hidden="0" customHeight="1">
      <x:c r="A76" s="28" t="str">
        <x:v>10.1007/s11916-023-01150-1</x:v>
      </x:c>
      <x:c r="B76" s="29" t="str">
        <x:v>Ketamine for Chronic Pain and Mental Health: Regulations, Legalities, and the Growth of Infusion Clinics</x:v>
      </x:c>
      <x:c r="C76" s="29" t="str">
        <x:v>review</x:v>
      </x:c>
      <x:c r="D76" s="29" t="n">
        <x:v>0</x:v>
      </x:c>
      <x:c r="E76" s="29" t="str">
        <x:v>P1_existing_kg_or_curated_signal</x:v>
      </x:c>
      <x:c r="F76" s="29" t="str">
        <x:v>abstract_only_no_fulltext_repair</x:v>
      </x:c>
      <x:c r="G76" s="29" t="str">
        <x:v>active extraction route uses the public abstract; no full-text artifact is required</x:v>
      </x:c>
      <x:c r="H76" s="30" t="str">
        <x:v>https://doi.org/10.1007/s11916-023-01150-1</x:v>
      </x:c>
    </x:row>
    <x:row r="77" ht="158.39999389648438" hidden="0" customHeight="1">
      <x:c r="A77" s="28" t="str">
        <x:v>10.1007/s11916-023-01161-y</x:v>
      </x:c>
      <x:c r="B77" s="29" t="str">
        <x:v>New Daily Persistent Headache (NDPH): Unraveling the Complexities of Diagnosis, Pathophysiology, and Treatment</x:v>
      </x:c>
      <x:c r="C77" s="29" t="str">
        <x:v>review</x:v>
      </x:c>
      <x:c r="D77" s="29" t="n">
        <x:v>0</x:v>
      </x:c>
      <x:c r="E77" s="29" t="str">
        <x:v>P2_retained_candidate</x:v>
      </x:c>
      <x:c r="F77" s="29" t="str">
        <x:v>abstract_only_no_fulltext_repair</x:v>
      </x:c>
      <x:c r="G77" s="29" t="str">
        <x:v>active extraction route uses the public abstract; no full-text artifact is required</x:v>
      </x:c>
      <x:c r="H77" s="30" t="str">
        <x:v>https://doi.org/10.1007/s11916-023-01161-y</x:v>
      </x:c>
    </x:row>
    <x:row r="78" ht="198" hidden="0" customHeight="1">
      <x:c r="A78" s="28" t="str">
        <x:v>10.1007/s11916-024-01321-8</x:v>
      </x:c>
      <x:c r="B78" s="29" t="str">
        <x:v>Exploring the Potential of Psychedelics in the Treatment of Headache Disorders: Clinical Considerations and Exploratory Insights</x:v>
      </x:c>
      <x:c r="C78" s="29" t="str">
        <x:v>review</x:v>
      </x:c>
      <x:c r="D78" s="29" t="n">
        <x:v>0</x:v>
      </x:c>
      <x:c r="E78" s="29" t="str">
        <x:v>P2_retained_candidate</x:v>
      </x:c>
      <x:c r="F78" s="29" t="str">
        <x:v>abstract_only_no_fulltext_repair</x:v>
      </x:c>
      <x:c r="G78" s="29" t="str">
        <x:v>active extraction route uses the public abstract; no full-text artifact is required</x:v>
      </x:c>
      <x:c r="H78" s="30" t="str">
        <x:v>https://doi.org/10.1007/s11916-024-01321-8</x:v>
      </x:c>
    </x:row>
    <x:row r="79" ht="158.39999389648438" hidden="0" customHeight="1">
      <x:c r="A79" s="28" t="str">
        <x:v>10.1007/s11916-024-01353-0</x:v>
      </x:c>
      <x:c r="B79" s="29" t="str">
        <x:v>Pain and Perception: Exploring Psychedelics as Novel Therapeutic Agents in Chronic Pain Management</x:v>
      </x:c>
      <x:c r="C79" s="29" t="str">
        <x:v>review</x:v>
      </x:c>
      <x:c r="D79" s="29" t="n">
        <x:v>0</x:v>
      </x:c>
      <x:c r="E79" s="29" t="str">
        <x:v>P2_retained_candidate</x:v>
      </x:c>
      <x:c r="F79" s="29" t="str">
        <x:v>abstract_only_no_fulltext_repair</x:v>
      </x:c>
      <x:c r="G79" s="29" t="str">
        <x:v>active extraction route uses the public abstract; no full-text artifact is required</x:v>
      </x:c>
      <x:c r="H79" s="30" t="str">
        <x:v>https://doi.org/10.1007/s11916-024-01353-0</x:v>
      </x:c>
    </x:row>
    <x:row r="80" ht="145.1999969482422" hidden="0" customHeight="1">
      <x:c r="A80" s="28" t="str">
        <x:v>10.1007/s11916-025-01360-9</x:v>
      </x:c>
      <x:c r="B80" s="29" t="str">
        <x:v>Ketamine Infusion for Complex Regional Pain Syndrome Treatment: A Narrative Review</x:v>
      </x:c>
      <x:c r="C80" s="29" t="str">
        <x:v>narrative_review</x:v>
      </x:c>
      <x:c r="D80" s="29" t="n">
        <x:v>0</x:v>
      </x:c>
      <x:c r="E80" s="29" t="str">
        <x:v>P2_retained_candidate</x:v>
      </x:c>
      <x:c r="F80" s="29" t="str">
        <x:v>abstract_only_no_fulltext_repair</x:v>
      </x:c>
      <x:c r="G80" s="29" t="str">
        <x:v>active extraction route uses the public abstract; no full-text artifact is required</x:v>
      </x:c>
      <x:c r="H80" s="30" t="str">
        <x:v>https://doi.org/10.1007/s11916-025-01360-9</x:v>
      </x:c>
    </x:row>
    <x:row r="81" ht="211.1999969482422" hidden="0" customHeight="1">
      <x:c r="A81" s="28" t="str">
        <x:v>10.1007/s11920-023-01432-w</x:v>
      </x:c>
      <x:c r="B81" s="29" t="str">
        <x:v>Ketamine Use in Child and Adolescent Psychiatry: Emerging Data in Treatment-Resistant Depression, Insights from Adults, and Future Directions</x:v>
      </x:c>
      <x:c r="C81" s="29" t="str">
        <x:v>review</x:v>
      </x:c>
      <x:c r="D81" s="29" t="n">
        <x:v>0</x:v>
      </x:c>
      <x:c r="E81" s="29" t="str">
        <x:v>P2_retained_candidate</x:v>
      </x:c>
      <x:c r="F81" s="29" t="str">
        <x:v>abstract_only_no_fulltext_repair</x:v>
      </x:c>
      <x:c r="G81" s="29" t="str">
        <x:v>active extraction route uses the public abstract; no full-text artifact is required</x:v>
      </x:c>
      <x:c r="H81" s="30" t="str">
        <x:v>https://doi.org/10.1007/s11920-023-01432-w</x:v>
      </x:c>
    </x:row>
    <x:row r="82" ht="171.60000610351562" hidden="0" customHeight="1">
      <x:c r="A82" s="28" t="str">
        <x:v>10.1007/s11920-024-01577-2</x:v>
      </x:c>
      <x:c r="B82" s="29" t="str">
        <x:v>Therapeutic Potential of MDMA- and Psychedelic-Assisted Psychotherapy for Adolescent Depression and Trauma</x:v>
      </x:c>
      <x:c r="C82" s="29" t="str">
        <x:v>review</x:v>
      </x:c>
      <x:c r="D82" s="29" t="n">
        <x:v>0</x:v>
      </x:c>
      <x:c r="E82" s="29" t="str">
        <x:v>P1_existing_kg_or_curated_signal</x:v>
      </x:c>
      <x:c r="F82" s="29" t="str">
        <x:v>abstract_only_no_fulltext_repair</x:v>
      </x:c>
      <x:c r="G82" s="29" t="str">
        <x:v>active extraction route uses the public abstract; no full-text artifact is required</x:v>
      </x:c>
      <x:c r="H82" s="30" t="str">
        <x:v>https://doi.org/10.1007/s11920-024-01577-2</x:v>
      </x:c>
    </x:row>
    <x:row r="83" ht="237.60000610351562" hidden="0" customHeight="1">
      <x:c r="A83" s="28" t="str">
        <x:v>10.1007/s12031-022-02077-9</x:v>
      </x:c>
      <x:c r="B83" s="29" t="str">
        <x:v>Lipopolysaccharide Exacerbates Ketamine-Induced Psychotic-Like Behavior, Oxidative Stress, and Neuroinflammation in Mice: Ameliorative Effect of Diosmin</x:v>
      </x:c>
      <x:c r="C83" s="29" t="str">
        <x:v>primary</x:v>
      </x:c>
      <x:c r="D83" s="29" t="n">
        <x:v>0</x:v>
      </x:c>
      <x:c r="E83" s="29" t="str">
        <x:v>P2_retained_candidate</x:v>
      </x:c>
      <x:c r="F83" s="29" t="str">
        <x:v>abstract_only_no_fulltext_repair</x:v>
      </x:c>
      <x:c r="G83" s="29" t="str">
        <x:v>active extraction route uses the public abstract; no full-text artifact is required</x:v>
      </x:c>
      <x:c r="H83" s="30" t="str">
        <x:v>https://doi.org/10.1007/s12031-022-02077-9</x:v>
      </x:c>
    </x:row>
    <x:row r="84" ht="171.60000610351562" hidden="0" customHeight="1">
      <x:c r="A84" s="28" t="str">
        <x:v>10.1007/s12033-023-00994-7</x:v>
      </x:c>
      <x:c r="B84" s="29" t="str">
        <x:v>Unveiling the Psychedelic Journey: An Appraisal of Psilocybin as a Profound Antidepressant Therapy</x:v>
      </x:c>
      <x:c r="C84" s="29" t="str">
        <x:v>review</x:v>
      </x:c>
      <x:c r="D84" s="29" t="n">
        <x:v>0</x:v>
      </x:c>
      <x:c r="E84" s="29" t="str">
        <x:v>P2_retained_candidate</x:v>
      </x:c>
      <x:c r="F84" s="29" t="str">
        <x:v>abstract_only_no_fulltext_repair</x:v>
      </x:c>
      <x:c r="G84" s="29" t="str">
        <x:v>active extraction route uses the public abstract; no full-text artifact is required</x:v>
      </x:c>
      <x:c r="H84" s="30" t="str">
        <x:v>https://doi.org/10.1007/s12033-023-00994-7</x:v>
      </x:c>
    </x:row>
    <x:row r="85" ht="382.79998779296875" hidden="0" customHeight="1">
      <x:c r="A85" s="28" t="str">
        <x:v>10.1007/s12035-021-02718-x</x:v>
      </x:c>
      <x:c r="B85" s="29" t="str">
        <x:v>Combination of electroconvulsive stimulation with ketamine or escitalopram protects the brain against inflammation and oxidative stress induced by maternal deprivation and is critical for associated behaviors in male and female rats</x:v>
      </x:c>
      <x:c r="C85" s="29" t="str">
        <x:v>primary</x:v>
      </x:c>
      <x:c r="D85" s="29" t="n">
        <x:v>0</x:v>
      </x:c>
      <x:c r="E85" s="29" t="str">
        <x:v>P2_retained_candidate</x:v>
      </x:c>
      <x:c r="F85" s="29" t="str">
        <x:v>abstract_only_no_fulltext_repair</x:v>
      </x:c>
      <x:c r="G85" s="29" t="str">
        <x:v>active extraction route uses the public abstract; no full-text artifact is required</x:v>
      </x:c>
      <x:c r="H85" s="30" t="str">
        <x:v>https://doi.org/10.1007/s12035-021-02718-x</x:v>
      </x:c>
    </x:row>
    <x:row r="86" ht="264" hidden="0" customHeight="1">
      <x:c r="A86" s="28" t="str">
        <x:v>10.1007/s12035-023-03474-w</x:v>
      </x:c>
      <x:c r="B86" s="29" t="str">
        <x:v>Ketamine counteracts sevoflurane-induced depressive-like behavior and synaptic plasticity impairments through the adenosine A2A receptor/ERK pathway in rats</x:v>
      </x:c>
      <x:c r="C86" s="29" t="str">
        <x:v>primary</x:v>
      </x:c>
      <x:c r="D86" s="29" t="n">
        <x:v>2</x:v>
      </x:c>
      <x:c r="E86" s="29" t="str">
        <x:v>P0_existing_kg_and_retained</x:v>
      </x:c>
      <x:c r="F86" s="29" t="str">
        <x:v>abstract_only_no_fulltext_repair</x:v>
      </x:c>
      <x:c r="G86" s="29" t="str">
        <x:v>active extraction route uses the public abstract; no full-text artifact is required</x:v>
      </x:c>
      <x:c r="H86" s="30" t="str">
        <x:v>https://doi.org/10.1007/s12035-023-03474-w</x:v>
      </x:c>
    </x:row>
    <x:row r="87" ht="250.8000030517578" hidden="0" customHeight="1">
      <x:c r="A87" s="28" t="str">
        <x:v>10.1007/s12035-023-03669-1</x:v>
      </x:c>
      <x:c r="B87" s="29" t="str">
        <x:v>Ketamine Improves the Glymphatic Pathway by Reducing the Pyroptosis of Hippocampal Astrocytes in the Chronic Unpredictable Mild Stress Model</x:v>
      </x:c>
      <x:c r="C87" s="29" t="str">
        <x:v>primary</x:v>
      </x:c>
      <x:c r="D87" s="29" t="n">
        <x:v>0</x:v>
      </x:c>
      <x:c r="E87" s="29" t="str">
        <x:v>P2_retained_candidate</x:v>
      </x:c>
      <x:c r="F87" s="29" t="str">
        <x:v>abstract_only_no_fulltext_repair</x:v>
      </x:c>
      <x:c r="G87" s="29" t="str">
        <x:v>active extraction route uses the public abstract; no full-text artifact is required</x:v>
      </x:c>
      <x:c r="H87" s="30" t="str">
        <x:v>https://doi.org/10.1007/s12035-023-03669-1</x:v>
      </x:c>
    </x:row>
    <x:row r="88" ht="224.39999389648438" hidden="0" customHeight="1">
      <x:c r="A88" s="28" t="str">
        <x:v>10.1007/s12035-025-04789-6</x:v>
      </x:c>
      <x:c r="B88" s="29" t="str">
        <x:v>Ketamine Alters Specific Gene Expression Profiles by Transcriptome-Wide Responses in a Ketamine-Induced Schizophrenia-Like Mouse Model</x:v>
      </x:c>
      <x:c r="C88" s="29" t="str">
        <x:v>primary</x:v>
      </x:c>
      <x:c r="D88" s="29" t="n">
        <x:v>7</x:v>
      </x:c>
      <x:c r="E88" s="29" t="str">
        <x:v>P0_existing_kg_and_retained</x:v>
      </x:c>
      <x:c r="F88" s="29" t="str">
        <x:v>abstract_only_no_fulltext_repair</x:v>
      </x:c>
      <x:c r="G88" s="29" t="str">
        <x:v>active extraction route uses the public abstract; no full-text artifact is required</x:v>
      </x:c>
      <x:c r="H88" s="30" t="str">
        <x:v>https://doi.org/10.1007/s12035-025-04789-6</x:v>
      </x:c>
    </x:row>
    <x:row r="89" ht="237.60000610351562" hidden="0" customHeight="1">
      <x:c r="A89" s="28" t="str">
        <x:v>10.1007/s12035-025-05114-x</x:v>
      </x:c>
      <x:c r="B89" s="29" t="str">
        <x:v>Neuroprotective Role of Ketamine in Reducing Neuroinflammation and Enhancing Neuroplasticity Against a Cortisol-Induced In Vitro Stress Model</x:v>
      </x:c>
      <x:c r="C89" s="29" t="str">
        <x:v>primary</x:v>
      </x:c>
      <x:c r="D89" s="29" t="n">
        <x:v>0</x:v>
      </x:c>
      <x:c r="E89" s="29" t="str">
        <x:v>P2_retained_candidate</x:v>
      </x:c>
      <x:c r="F89" s="29" t="str">
        <x:v>abstract_only_no_fulltext_repair</x:v>
      </x:c>
      <x:c r="G89" s="29" t="str">
        <x:v>active extraction route uses the public abstract; no full-text artifact is required</x:v>
      </x:c>
      <x:c r="H89" s="30" t="str">
        <x:v>https://doi.org/10.1007/s12035-025-05114-x</x:v>
      </x:c>
    </x:row>
    <x:row r="90" ht="224.39999389648438" hidden="0" customHeight="1">
      <x:c r="A90" s="28" t="str">
        <x:v>10.1007/s12272-024-01491-4</x:v>
      </x:c>
      <x:c r="B90" s="29" t="str">
        <x:v>The novel psychoactive substance 25E-NBOMe induces reward-related behaviors via dopamine D1 receptor signaling in male rodents</x:v>
      </x:c>
      <x:c r="C90" s="29" t="str">
        <x:v>primary</x:v>
      </x:c>
      <x:c r="D90" s="29" t="n">
        <x:v>0</x:v>
      </x:c>
      <x:c r="E90" s="29" t="str">
        <x:v>P2_retained_candidate</x:v>
      </x:c>
      <x:c r="F90" s="29" t="str">
        <x:v>abstract_only_no_fulltext_repair</x:v>
      </x:c>
      <x:c r="G90" s="29" t="str">
        <x:v>active extraction route uses the public abstract; no full-text artifact is required</x:v>
      </x:c>
      <x:c r="H90" s="30" t="str">
        <x:v>https://doi.org/10.1007/s12272-024-01491-4</x:v>
      </x:c>
    </x:row>
    <x:row r="91" ht="237.60000610351562" hidden="0" customHeight="1">
      <x:c r="A91" s="28" t="str">
        <x:v>10.1007/s12325-025-03149-z</x:v>
      </x:c>
      <x:c r="B91" s="29" t="str">
        <x:v>A Real-World Study on the Use, Effectiveness, and Safety of Esketamine Nasal Spray in Patients with Treatment-Resistant Depression: INTEGRATE Study</x:v>
      </x:c>
      <x:c r="C91" s="29" t="str">
        <x:v>primary</x:v>
      </x:c>
      <x:c r="D91" s="29" t="n">
        <x:v>0</x:v>
      </x:c>
      <x:c r="E91" s="29" t="str">
        <x:v>P1_existing_kg_or_curated_signal</x:v>
      </x:c>
      <x:c r="F91" s="29" t="str">
        <x:v>abstract_only_no_fulltext_repair</x:v>
      </x:c>
      <x:c r="G91" s="29" t="str">
        <x:v>active extraction route uses the public abstract; no full-text artifact is required</x:v>
      </x:c>
      <x:c r="H91" s="30" t="str">
        <x:v>https://doi.org/10.1007/s12325-025-03149-z</x:v>
      </x:c>
    </x:row>
    <x:row r="92" ht="184.8000030517578" hidden="0" customHeight="1">
      <x:c r="A92" s="28" t="str">
        <x:v>10.1007/s12630-025-03031-0</x:v>
      </x:c>
      <x:c r="B92" s="29" t="str">
        <x:v>Prospective preference assessment for the Ecstasy for Alleviating Severe Chronic Neuropathic Pain (EASE-Pain) trial</x:v>
      </x:c>
      <x:c r="C92" s="29" t="str">
        <x:v>primary</x:v>
      </x:c>
      <x:c r="D92" s="29" t="n">
        <x:v>0</x:v>
      </x:c>
      <x:c r="E92" s="29" t="str">
        <x:v>P1_existing_kg_or_curated_signal</x:v>
      </x:c>
      <x:c r="F92" s="29" t="str">
        <x:v>abstract_only_no_fulltext_repair</x:v>
      </x:c>
      <x:c r="G92" s="29" t="str">
        <x:v>active extraction route uses the public abstract; no full-text artifact is required</x:v>
      </x:c>
      <x:c r="H92" s="30" t="str">
        <x:v>https://doi.org/10.1007/s12630-025-03031-0</x:v>
      </x:c>
    </x:row>
    <x:row r="93" ht="198" hidden="0" customHeight="1">
      <x:c r="A93" s="28" t="str">
        <x:v>10.1007/s13346-017-0476-2</x:v>
      </x:c>
      <x:c r="B93" s="29" t="str">
        <x:v>Acute low-dose ketamine produces a rapid and robust increase in plasma BDNF without altering brain BDNF concentrations</x:v>
      </x:c>
      <x:c r="C93" s="29" t="str">
        <x:v>primary</x:v>
      </x:c>
      <x:c r="D93" s="29" t="n">
        <x:v>3</x:v>
      </x:c>
      <x:c r="E93" s="29" t="str">
        <x:v>P0_existing_kg_and_retained</x:v>
      </x:c>
      <x:c r="F93" s="29" t="str">
        <x:v>abstract_only_no_fulltext_repair</x:v>
      </x:c>
      <x:c r="G93" s="29" t="str">
        <x:v>active extraction route uses the public abstract; no full-text artifact is required</x:v>
      </x:c>
      <x:c r="H93" s="30" t="str">
        <x:v>https://doi.org/10.1007/s13346-017-0476-2</x:v>
      </x:c>
    </x:row>
    <x:row r="94" ht="303.6000061035156" hidden="0" customHeight="1">
      <x:c r="A94" s="28" t="str">
        <x:v>10.1007/s40261-022-01169-z</x:v>
      </x:c>
      <x:c r="B94" s="29" t="str">
        <x:v>A Systematic Review of Neurocognitive Effects of Subanesthetic Doses of Intravenous Ketamine in Major Depressive Disorder, Post-Traumatic Stress Disorder, and Healthy Population</x:v>
      </x:c>
      <x:c r="C94" s="29" t="str">
        <x:v>systematic_review</x:v>
      </x:c>
      <x:c r="D94" s="29" t="n">
        <x:v>0</x:v>
      </x:c>
      <x:c r="E94" s="29" t="str">
        <x:v>P2_retained_candidate</x:v>
      </x:c>
      <x:c r="F94" s="29" t="str">
        <x:v>abstract_only_no_fulltext_repair</x:v>
      </x:c>
      <x:c r="G94" s="29" t="str">
        <x:v>active extraction route uses the public abstract; no full-text artifact is required</x:v>
      </x:c>
      <x:c r="H94" s="30" t="str">
        <x:v>https://doi.org/10.1007/s40261-022-01169-z</x:v>
      </x:c>
    </x:row>
    <x:row r="95" ht="224.39999389648438" hidden="0" customHeight="1">
      <x:c r="A95" s="28" t="str">
        <x:v>10.1007/s40261-022-01193-z</x:v>
      </x:c>
      <x:c r="B95" s="29" t="str">
        <x:v>Efficacy and Safety of Subcutaneous Esketamine in the Treatment of Suicidality in Major Depressive Disorder and Bipolar Depression</x:v>
      </x:c>
      <x:c r="C95" s="29" t="str">
        <x:v>primary</x:v>
      </x:c>
      <x:c r="D95" s="29" t="n">
        <x:v>0</x:v>
      </x:c>
      <x:c r="E95" s="29" t="str">
        <x:v>P1_existing_kg_or_curated_signal</x:v>
      </x:c>
      <x:c r="F95" s="29" t="str">
        <x:v>abstract_only_no_fulltext_repair</x:v>
      </x:c>
      <x:c r="G95" s="29" t="str">
        <x:v>active extraction route uses the public abstract; no full-text artifact is required</x:v>
      </x:c>
      <x:c r="H95" s="30" t="str">
        <x:v>https://doi.org/10.1007/s40261-022-01193-z</x:v>
      </x:c>
    </x:row>
    <x:row r="96" ht="250.8000030517578" hidden="0" customHeight="1">
      <x:c r="A96" s="28" t="str">
        <x:v>10.1007/s40262-020-00953-4</x:v>
      </x:c>
      <x:c r="B96" s="29" t="str">
        <x:v>Population Pharmacokinetics of Esketamine Nasal Spray and its Metabolite Noresketamine in Healthy Subjects and Patients with Treatment-Resistant Depression</x:v>
      </x:c>
      <x:c r="C96" s="29" t="str">
        <x:v>primary</x:v>
      </x:c>
      <x:c r="D96" s="29" t="n">
        <x:v>0</x:v>
      </x:c>
      <x:c r="E96" s="29" t="str">
        <x:v>P2_retained_candidate</x:v>
      </x:c>
      <x:c r="F96" s="29" t="str">
        <x:v>abstract_only_no_fulltext_repair</x:v>
      </x:c>
      <x:c r="G96" s="29" t="str">
        <x:v>active extraction route uses the public abstract; no full-text artifact is required</x:v>
      </x:c>
      <x:c r="H96" s="30" t="str">
        <x:v>https://doi.org/10.1007/s40262-020-00953-4</x:v>
      </x:c>
    </x:row>
    <x:row r="97" ht="184.8000030517578" hidden="0" customHeight="1">
      <x:c r="A97" s="28" t="str">
        <x:v>10.1007/s40263-021-00846-5</x:v>
      </x:c>
      <x:c r="B97" s="29" t="str">
        <x:v>Prevention and Management of Common Adverse Effects of Ketamine and Esketamine in Patients with Mood Disorders</x:v>
      </x:c>
      <x:c r="C97" s="29" t="str">
        <x:v>review</x:v>
      </x:c>
      <x:c r="D97" s="29" t="n">
        <x:v>0</x:v>
      </x:c>
      <x:c r="E97" s="29" t="str">
        <x:v>P2_retained_candidate</x:v>
      </x:c>
      <x:c r="F97" s="29" t="str">
        <x:v>abstract_only_no_fulltext_repair</x:v>
      </x:c>
      <x:c r="G97" s="29" t="str">
        <x:v>active extraction route uses the public abstract; no full-text artifact is required</x:v>
      </x:c>
      <x:c r="H97" s="30" t="str">
        <x:v>https://doi.org/10.1007/s40263-021-00846-5</x:v>
      </x:c>
    </x:row>
    <x:row r="98" ht="171.60000610351562" hidden="0" customHeight="1">
      <x:c r="A98" s="28" t="str">
        <x:v>10.1007/s40263-021-00851-8</x:v>
      </x:c>
      <x:c r="B98" s="29" t="str">
        <x:v>Evaluating the Role of Ketamine/Esketamine in the Management of Major Depressive Disorder with Suicide Risk</x:v>
      </x:c>
      <x:c r="C98" s="29" t="str">
        <x:v>review</x:v>
      </x:c>
      <x:c r="D98" s="29" t="n">
        <x:v>0</x:v>
      </x:c>
      <x:c r="E98" s="29" t="str">
        <x:v>P1_existing_kg_or_curated_signal</x:v>
      </x:c>
      <x:c r="F98" s="29" t="str">
        <x:v>abstract_only_no_fulltext_repair</x:v>
      </x:c>
      <x:c r="G98" s="29" t="str">
        <x:v>active extraction route uses the public abstract; no full-text artifact is required</x:v>
      </x:c>
      <x:c r="H98" s="30" t="str">
        <x:v>https://doi.org/10.1007/s40263-021-00851-8</x:v>
      </x:c>
    </x:row>
    <x:row r="99" ht="145.1999969482422" hidden="0" customHeight="1">
      <x:c r="A99" s="28" t="str">
        <x:v>10.1007/s40263-021-00877-y</x:v>
      </x:c>
      <x:c r="B99" s="29" t="str">
        <x:v>Molecular Mechanisms of Psilocybin and Implications for the Treatment of Depression</x:v>
      </x:c>
      <x:c r="C99" s="29" t="str">
        <x:v>review</x:v>
      </x:c>
      <x:c r="D99" s="29" t="n">
        <x:v>0</x:v>
      </x:c>
      <x:c r="E99" s="29" t="str">
        <x:v>P1_existing_kg_or_curated_signal</x:v>
      </x:c>
      <x:c r="F99" s="29" t="str">
        <x:v>abstract_only_no_fulltext_repair</x:v>
      </x:c>
      <x:c r="G99" s="29" t="str">
        <x:v>active extraction route uses the public abstract; no full-text artifact is required</x:v>
      </x:c>
      <x:c r="H99" s="30" t="str">
        <x:v>https://doi.org/10.1007/s40263-021-00877-y</x:v>
      </x:c>
    </x:row>
    <x:row r="100" ht="145.1999969482422" hidden="0" customHeight="1">
      <x:c r="A100" s="28" t="str">
        <x:v>10.1007/s40263-022-00929-x</x:v>
      </x:c>
      <x:c r="B100" s="29" t="str">
        <x:v>Pharmacological Management of Nightmares Associated with Posttraumatic Stress Disorder</x:v>
      </x:c>
      <x:c r="C100" s="29" t="str">
        <x:v>narrative_review</x:v>
      </x:c>
      <x:c r="D100" s="29" t="n">
        <x:v>0</x:v>
      </x:c>
      <x:c r="E100" s="29" t="str">
        <x:v>P2_retained_candidate</x:v>
      </x:c>
      <x:c r="F100" s="29" t="str">
        <x:v>abstract_only_no_fulltext_repair</x:v>
      </x:c>
      <x:c r="G100" s="29" t="str">
        <x:v>active extraction route uses the public abstract; no full-text artifact is required</x:v>
      </x:c>
      <x:c r="H100" s="30" t="str">
        <x:v>https://doi.org/10.1007/s40263-022-00929-x</x:v>
      </x:c>
    </x:row>
    <x:row r="101" ht="158.39999389648438" hidden="0" customHeight="1">
      <x:c r="A101" s="28" t="str">
        <x:v>10.1007/s40263-023-01008-5</x:v>
      </x:c>
      <x:c r="B101" s="29" t="str">
        <x:v>Lysergic Acid Diethylamide (LSD) for the Treatment of Anxiety Disorders: Preclinical and Clinical Evidence</x:v>
      </x:c>
      <x:c r="C101" s="29" t="str">
        <x:v>review</x:v>
      </x:c>
      <x:c r="D101" s="29" t="n">
        <x:v>0</x:v>
      </x:c>
      <x:c r="E101" s="29" t="str">
        <x:v>P2_retained_candidate</x:v>
      </x:c>
      <x:c r="F101" s="29" t="str">
        <x:v>abstract_only_no_fulltext_repair</x:v>
      </x:c>
      <x:c r="G101" s="29" t="str">
        <x:v>active extraction route uses the public abstract; no full-text artifact is required</x:v>
      </x:c>
      <x:c r="H101" s="30" t="str">
        <x:v>https://doi.org/10.1007/s40263-023-01008-5</x:v>
      </x:c>
    </x:row>
    <x:row r="102" ht="118.80000305175781" hidden="0" customHeight="1">
      <x:c r="A102" s="28" t="str">
        <x:v>10.1007/s40263-024-01099-8</x:v>
      </x:c>
      <x:c r="B102" s="29" t="str">
        <x:v>The Use of Ketamine for the Treatment of Anhedonia in Depression</x:v>
      </x:c>
      <x:c r="C102" s="29" t="str">
        <x:v>review</x:v>
      </x:c>
      <x:c r="D102" s="29" t="n">
        <x:v>0</x:v>
      </x:c>
      <x:c r="E102" s="29" t="str">
        <x:v>P2_retained_candidate</x:v>
      </x:c>
      <x:c r="F102" s="29" t="str">
        <x:v>abstract_only_no_fulltext_repair</x:v>
      </x:c>
      <x:c r="G102" s="29" t="str">
        <x:v>active extraction route uses the public abstract; no full-text artifact is required</x:v>
      </x:c>
      <x:c r="H102" s="30" t="str">
        <x:v>https://doi.org/10.1007/s40263-024-01099-8</x:v>
      </x:c>
    </x:row>
    <x:row r="103" ht="145.1999969482422" hidden="0" customHeight="1">
      <x:c r="A103" s="28" t="str">
        <x:v>10.1007/s40263-024-01123-x</x:v>
      </x:c>
      <x:c r="B103" s="29" t="str">
        <x:v>Research Progress on NMDA Receptor Enhancement Drugs for the Treatment of Depressive Disorder</x:v>
      </x:c>
      <x:c r="C103" s="29" t="str">
        <x:v>narrative_review</x:v>
      </x:c>
      <x:c r="D103" s="29" t="n">
        <x:v>0</x:v>
      </x:c>
      <x:c r="E103" s="29" t="str">
        <x:v>P2_retained_candidate</x:v>
      </x:c>
      <x:c r="F103" s="29" t="str">
        <x:v>abstract_only_no_fulltext_repair</x:v>
      </x:c>
      <x:c r="G103" s="29" t="str">
        <x:v>active extraction route uses the public abstract; no full-text artifact is required</x:v>
      </x:c>
      <x:c r="H103" s="30" t="str">
        <x:v>https://doi.org/10.1007/s40263-024-01123-x</x:v>
      </x:c>
    </x:row>
    <x:row r="104" ht="171.60000610351562" hidden="0" customHeight="1">
      <x:c r="A104" s="28" t="str">
        <x:v>10.1007/s40263-025-01199-z</x:v>
      </x:c>
      <x:c r="B104" s="29" t="str">
        <x:v>Psychedelics for Alcohol Use Disorder: A Narrative Review with Candidate Mechanisms of Action</x:v>
      </x:c>
      <x:c r="C104" s="29" t="str">
        <x:v>narrative_review</x:v>
      </x:c>
      <x:c r="D104" s="29" t="n">
        <x:v>0</x:v>
      </x:c>
      <x:c r="E104" s="29" t="str">
        <x:v>P2_retained_candidate</x:v>
      </x:c>
      <x:c r="F104" s="29" t="str">
        <x:v>abstract_only_no_fulltext_repair</x:v>
      </x:c>
      <x:c r="G104" s="29" t="str">
        <x:v>active extraction route uses the public abstract; no full-text artifact is required</x:v>
      </x:c>
      <x:c r="H104" s="30" t="str">
        <x:v>https://doi.org/10.1007/s40263-025-01199-z</x:v>
      </x:c>
    </x:row>
    <x:row r="105" ht="264" hidden="0" customHeight="1">
      <x:c r="A105" s="28" t="str">
        <x:v>10.1007/s40263-025-01256-7</x:v>
      </x:c>
      <x:c r="B105" s="29" t="str">
        <x:v>Safety and Efficacy of Monoamine Oxidase Inhibitors in Patients Who Use Psychoactive Substances: Potential Drug Interactions and Substance Use Disorder Treatment Data</x:v>
      </x:c>
      <x:c r="C105" s="29" t="str">
        <x:v>narrative_review</x:v>
      </x:c>
      <x:c r="D105" s="29" t="n">
        <x:v>0</x:v>
      </x:c>
      <x:c r="E105" s="29" t="str">
        <x:v>P2_retained_candidate</x:v>
      </x:c>
      <x:c r="F105" s="29" t="str">
        <x:v>abstract_only_no_fulltext_repair</x:v>
      </x:c>
      <x:c r="G105" s="29" t="str">
        <x:v>active extraction route uses the public abstract; no full-text artifact is required</x:v>
      </x:c>
      <x:c r="H105" s="30" t="str">
        <x:v>https://doi.org/10.1007/s40263-025-01256-7</x:v>
      </x:c>
    </x:row>
    <x:row r="106" ht="250.8000030517578" hidden="0" customHeight="1">
      <x:c r="A106" s="28" t="str">
        <x:v>10.1007/s40263-026-01296-7</x:v>
      </x:c>
      <x:c r="B106" s="29" t="str">
        <x:v>Clinical Predictors of Antidepressant Effects of Ketamine and Esketamine in Treatment-Resistant Unipolar and Bipolar Depression: A Systematic Review</x:v>
      </x:c>
      <x:c r="C106" s="29" t="str">
        <x:v>systematic_review</x:v>
      </x:c>
      <x:c r="D106" s="29" t="n">
        <x:v>0</x:v>
      </x:c>
      <x:c r="E106" s="29" t="str">
        <x:v>P2_retained_candidate</x:v>
      </x:c>
      <x:c r="F106" s="29" t="str">
        <x:v>abstract_only_no_fulltext_repair</x:v>
      </x:c>
      <x:c r="G106" s="29" t="str">
        <x:v>active extraction route uses the public abstract; no full-text artifact is required</x:v>
      </x:c>
      <x:c r="H106" s="30" t="str">
        <x:v>https://doi.org/10.1007/s40263-026-01296-7</x:v>
      </x:c>
    </x:row>
    <x:row r="107" ht="158.39999389648438" hidden="0" customHeight="1">
      <x:c r="A107" s="28" t="str">
        <x:v>10.1007/s40264-025-01530-z</x:v>
      </x:c>
      <x:c r="B107" s="29" t="str">
        <x:v>Opinion Mining of Erowid’s Experience Reports on LSD and Psilocybin-Containing Mushrooms</x:v>
      </x:c>
      <x:c r="C107" s="29" t="str">
        <x:v>primary</x:v>
      </x:c>
      <x:c r="D107" s="29" t="n">
        <x:v>0</x:v>
      </x:c>
      <x:c r="E107" s="29" t="str">
        <x:v>P2_retained_candidate</x:v>
      </x:c>
      <x:c r="F107" s="29" t="str">
        <x:v>abstract_only_no_fulltext_repair</x:v>
      </x:c>
      <x:c r="G107" s="29" t="str">
        <x:v>active extraction route uses the public abstract; no full-text artifact is required</x:v>
      </x:c>
      <x:c r="H107" s="30" t="str">
        <x:v>https://doi.org/10.1007/s40264-025-01530-z</x:v>
      </x:c>
    </x:row>
    <x:row r="108" ht="118.80000305175781" hidden="0" customHeight="1">
      <x:c r="A108" s="28" t="str">
        <x:v>10.1007/s40265-023-01872-x</x:v>
      </x:c>
      <x:c r="B108" s="29" t="str">
        <x:v>New Pharmacologic Approaches to the Treatment of Bipolar Depression</x:v>
      </x:c>
      <x:c r="C108" s="29" t="str">
        <x:v>review</x:v>
      </x:c>
      <x:c r="D108" s="29" t="n">
        <x:v>0</x:v>
      </x:c>
      <x:c r="E108" s="29" t="str">
        <x:v>P2_retained_candidate</x:v>
      </x:c>
      <x:c r="F108" s="29" t="str">
        <x:v>abstract_only_no_fulltext_repair</x:v>
      </x:c>
      <x:c r="G108" s="29" t="str">
        <x:v>active extraction route uses the public abstract; no full-text artifact is required</x:v>
      </x:c>
      <x:c r="H108" s="30" t="str">
        <x:v>https://doi.org/10.1007/s40265-023-01872-x</x:v>
      </x:c>
    </x:row>
    <x:row r="109" ht="224.39999389648438" hidden="0" customHeight="1">
      <x:c r="A109" s="28" t="str">
        <x:v>10.1007/s40265-023-01983-5</x:v>
      </x:c>
      <x:c r="B109" s="29" t="str">
        <x:v>A Neuroanatomic and Pathophysiologic Framework for Novel Pharmacological Approaches to the Treatment of Post-traumatic Stress Disorder</x:v>
      </x:c>
      <x:c r="C109" s="29" t="str">
        <x:v>review</x:v>
      </x:c>
      <x:c r="D109" s="29" t="n">
        <x:v>0</x:v>
      </x:c>
      <x:c r="E109" s="29" t="str">
        <x:v>P2_retained_candidate</x:v>
      </x:c>
      <x:c r="F109" s="29" t="str">
        <x:v>abstract_only_no_fulltext_repair</x:v>
      </x:c>
      <x:c r="G109" s="29" t="str">
        <x:v>active extraction route uses the public abstract; no full-text artifact is required</x:v>
      </x:c>
      <x:c r="H109" s="30" t="str">
        <x:v>https://doi.org/10.1007/s40265-023-01983-5</x:v>
      </x:c>
    </x:row>
    <x:row r="110" ht="145.1999969482422" hidden="0" customHeight="1">
      <x:c r="A110" s="28" t="str">
        <x:v>10.1007/s40265-024-02106-4</x:v>
      </x:c>
      <x:c r="B110" s="29" t="str">
        <x:v>How Psychedelics Modulate Multiple Memory Mechanisms in Posttraumatic Stress Disorder</x:v>
      </x:c>
      <x:c r="C110" s="29" t="str">
        <x:v>review</x:v>
      </x:c>
      <x:c r="D110" s="29" t="n">
        <x:v>0</x:v>
      </x:c>
      <x:c r="E110" s="29" t="str">
        <x:v>P2_retained_candidate</x:v>
      </x:c>
      <x:c r="F110" s="29" t="str">
        <x:v>abstract_only_no_fulltext_repair</x:v>
      </x:c>
      <x:c r="G110" s="29" t="str">
        <x:v>active extraction route uses the public abstract; no full-text artifact is required</x:v>
      </x:c>
      <x:c r="H110" s="30" t="str">
        <x:v>https://doi.org/10.1007/s40265-024-02106-4</x:v>
      </x:c>
    </x:row>
    <x:row r="111" ht="158.39999389648438" hidden="0" customHeight="1">
      <x:c r="A111" s="28" t="str">
        <x:v>10.1007/s40265-025-02172-2</x:v>
      </x:c>
      <x:c r="B111" s="29" t="str">
        <x:v>Classic Psychedelics for the Treatment of Depression: Potential Benefits and Challenges</x:v>
      </x:c>
      <x:c r="C111" s="29" t="str">
        <x:v>review</x:v>
      </x:c>
      <x:c r="D111" s="29" t="n">
        <x:v>0</x:v>
      </x:c>
      <x:c r="E111" s="29" t="str">
        <x:v>P2_retained_candidate</x:v>
      </x:c>
      <x:c r="F111" s="29" t="str">
        <x:v>abstract_only_no_fulltext_repair</x:v>
      </x:c>
      <x:c r="G111" s="29" t="str">
        <x:v>active extraction route uses the public abstract; no full-text artifact is required</x:v>
      </x:c>
      <x:c r="H111" s="30" t="str">
        <x:v>https://doi.org/10.1007/s40265-025-02172-2</x:v>
      </x:c>
    </x:row>
    <x:row r="112" ht="145.1999969482422" hidden="0" customHeight="1">
      <x:c r="A112" s="28" t="str">
        <x:v>10.1007/s40272-024-00639-5</x:v>
      </x:c>
      <x:c r="B112" s="29" t="str">
        <x:v>Pediatric Treatment-Resistant Obsessive Compulsive Disorder: Treatment Options and Challenges</x:v>
      </x:c>
      <x:c r="C112" s="29" t="str">
        <x:v>review</x:v>
      </x:c>
      <x:c r="D112" s="29" t="n">
        <x:v>0</x:v>
      </x:c>
      <x:c r="E112" s="29" t="str">
        <x:v>P2_retained_candidate</x:v>
      </x:c>
      <x:c r="F112" s="29" t="str">
        <x:v>abstract_only_no_fulltext_repair</x:v>
      </x:c>
      <x:c r="G112" s="29" t="str">
        <x:v>active extraction route uses the public abstract; no full-text artifact is required</x:v>
      </x:c>
      <x:c r="H112" s="30" t="str">
        <x:v>https://doi.org/10.1007/s40272-024-00639-5</x:v>
      </x:c>
    </x:row>
    <x:row r="113" ht="158.39999389648438" hidden="0" customHeight="1">
      <x:c r="A113" s="28" t="str">
        <x:v>10.1007/s40519-020-01000-8</x:v>
      </x:c>
      <x:c r="B113" s="29" t="str">
        <x:v>Positive effects of psychedelics on depression and wellbeing scores in individuals reporting an eating disorder</x:v>
      </x:c>
      <x:c r="C113" s="29" t="str">
        <x:v>primary</x:v>
      </x:c>
      <x:c r="D113" s="29" t="n">
        <x:v>0</x:v>
      </x:c>
      <x:c r="E113" s="29" t="str">
        <x:v>P2_retained_candidate</x:v>
      </x:c>
      <x:c r="F113" s="29" t="str">
        <x:v>abstract_only_no_fulltext_repair</x:v>
      </x:c>
      <x:c r="G113" s="29" t="str">
        <x:v>active extraction route uses the public abstract; no full-text artifact is required</x:v>
      </x:c>
      <x:c r="H113" s="30" t="str">
        <x:v>https://doi.org/10.1007/s40519-020-01000-8</x:v>
      </x:c>
    </x:row>
    <x:row r="114" ht="198" hidden="0" customHeight="1">
      <x:c r="A114" s="28" t="str">
        <x:v>10.1007/s43440-021-00342-z</x:v>
      </x:c>
      <x:c r="B114" s="29" t="str">
        <x:v>Decreased efficacy of the ketamine and scopolamine-induced sustained antidepressant-like effects in rats receiving metformin</x:v>
      </x:c>
      <x:c r="C114" s="29" t="str">
        <x:v>primary</x:v>
      </x:c>
      <x:c r="D114" s="29" t="n">
        <x:v>0</x:v>
      </x:c>
      <x:c r="E114" s="29" t="str">
        <x:v>P2_retained_candidate</x:v>
      </x:c>
      <x:c r="F114" s="29" t="str">
        <x:v>abstract_only_no_fulltext_repair</x:v>
      </x:c>
      <x:c r="G114" s="29" t="str">
        <x:v>active extraction route uses the public abstract; no full-text artifact is required</x:v>
      </x:c>
      <x:c r="H114" s="30" t="str">
        <x:v>https://doi.org/10.1007/s43440-021-00342-z</x:v>
      </x:c>
    </x:row>
    <x:row r="115" ht="264" hidden="0" customHeight="1">
      <x:c r="A115" s="28" t="str">
        <x:v>10.1007/s43440-024-00588-3</x:v>
      </x:c>
      <x:c r="B115" s="29" t="str">
        <x:v>Partial mGlu5 receptor NAM, M-5MPEP, induces rapid and sustained antidepressant-like effects in the BDNF-dependent mechanism and enhances (R)-ketamine action in mice</x:v>
      </x:c>
      <x:c r="C115" s="29" t="str">
        <x:v>primary</x:v>
      </x:c>
      <x:c r="D115" s="29" t="n">
        <x:v>0</x:v>
      </x:c>
      <x:c r="E115" s="29" t="str">
        <x:v>P2_retained_candidate</x:v>
      </x:c>
      <x:c r="F115" s="29" t="str">
        <x:v>abstract_only_no_fulltext_repair</x:v>
      </x:c>
      <x:c r="G115" s="29" t="str">
        <x:v>active extraction route uses the public abstract; no full-text artifact is required</x:v>
      </x:c>
      <x:c r="H115" s="30" t="str">
        <x:v>https://doi.org/10.1007/s43440-024-00588-3</x:v>
      </x:c>
    </x:row>
    <x:row r="116" ht="171.60000610351562" hidden="0" customHeight="1">
      <x:c r="A116" s="28" t="str">
        <x:v>10.1007/s43440-025-00808-4</x:v>
      </x:c>
      <x:c r="B116" s="29" t="str">
        <x:v>A preliminary proof-of-concept trial on the effects of ketamine on fatigue: a randomized crossover trial</x:v>
      </x:c>
      <x:c r="C116" s="29" t="str">
        <x:v>primary</x:v>
      </x:c>
      <x:c r="D116" s="29" t="n">
        <x:v>0</x:v>
      </x:c>
      <x:c r="E116" s="29" t="str">
        <x:v>P2_retained_candidate</x:v>
      </x:c>
      <x:c r="F116" s="29" t="str">
        <x:v>abstract_only_no_fulltext_repair</x:v>
      </x:c>
      <x:c r="G116" s="29" t="str">
        <x:v>active extraction route uses the public abstract; no full-text artifact is required</x:v>
      </x:c>
      <x:c r="H116" s="30" t="str">
        <x:v>https://doi.org/10.1007/s43440-025-00808-4</x:v>
      </x:c>
    </x:row>
    <x:row r="117" ht="171.60000610351562" hidden="0" customHeight="1">
      <x:c r="A117" s="28" t="str">
        <x:v>10.1038/mp.2017.219</x:v>
      </x:c>
      <x:c r="B117" s="29" t="str">
        <x:v>Protein kinase Mζ in medial prefrontal cortex mediates depressive-like behavior and antidepressant response</x:v>
      </x:c>
      <x:c r="C117" s="29" t="str">
        <x:v>primary</x:v>
      </x:c>
      <x:c r="D117" s="29" t="n">
        <x:v>0</x:v>
      </x:c>
      <x:c r="E117" s="29" t="str">
        <x:v>P2_retained_candidate</x:v>
      </x:c>
      <x:c r="F117" s="29" t="str">
        <x:v>abstract_only_no_fulltext_repair</x:v>
      </x:c>
      <x:c r="G117" s="29" t="str">
        <x:v>active extraction route uses the public abstract; no full-text artifact is required</x:v>
      </x:c>
      <x:c r="H117" s="30" t="str">
        <x:v>https://doi.org/10.1038/mp.2017.219</x:v>
      </x:c>
    </x:row>
    <x:row r="118" ht="171.60000610351562" hidden="0" customHeight="1">
      <x:c r="A118" s="28" t="str">
        <x:v>10.1038/s41380-023-02008-z</x:v>
      </x:c>
      <x:c r="B118" s="29" t="str">
        <x:v>BNIP3L/NIX-mediated mitophagy alleviates passive stress-coping behaviors induced by tumor necrosis factor-α</x:v>
      </x:c>
      <x:c r="C118" s="29" t="str">
        <x:v>primary</x:v>
      </x:c>
      <x:c r="D118" s="29" t="n">
        <x:v>0</x:v>
      </x:c>
      <x:c r="E118" s="29" t="str">
        <x:v>P2_retained_candidate</x:v>
      </x:c>
      <x:c r="F118" s="29" t="str">
        <x:v>abstract_only_no_fulltext_repair</x:v>
      </x:c>
      <x:c r="G118" s="29" t="str">
        <x:v>active extraction route uses the public abstract; no full-text artifact is required</x:v>
      </x:c>
      <x:c r="H118" s="30" t="str">
        <x:v>https://doi.org/10.1038/s41380-023-02008-z</x:v>
      </x:c>
    </x:row>
    <x:row r="119" ht="145.1999969482422" hidden="0" customHeight="1">
      <x:c r="A119" s="28" t="str">
        <x:v>10.1038/s41380-023-02312-8</x:v>
      </x:c>
      <x:c r="B119" s="29" t="str">
        <x:v>Synergistic psychedelic - NMDAR modulator treatment for neuropsychiatric disorders</x:v>
      </x:c>
      <x:c r="C119" s="29" t="str">
        <x:v>review</x:v>
      </x:c>
      <x:c r="D119" s="29" t="n">
        <x:v>0</x:v>
      </x:c>
      <x:c r="E119" s="29" t="str">
        <x:v>P2_retained_candidate</x:v>
      </x:c>
      <x:c r="F119" s="29" t="str">
        <x:v>abstract_only_no_fulltext_repair</x:v>
      </x:c>
      <x:c r="G119" s="29" t="str">
        <x:v>active extraction route uses the public abstract; no full-text artifact is required</x:v>
      </x:c>
      <x:c r="H119" s="30" t="str">
        <x:v>https://doi.org/10.1038/s41380-023-02312-8</x:v>
      </x:c>
    </x:row>
    <x:row r="120" ht="145.1999969482422" hidden="0" customHeight="1">
      <x:c r="A120" s="28" t="str">
        <x:v>10.1038/s41380-023-02360-0</x:v>
      </x:c>
      <x:c r="B120" s="29" t="str">
        <x:v>Psychedelics for acquired brain injury: a review of molecular mechanisms and therapeutic potential</x:v>
      </x:c>
      <x:c r="C120" s="29" t="str">
        <x:v>narrative_review</x:v>
      </x:c>
      <x:c r="D120" s="29" t="n">
        <x:v>0</x:v>
      </x:c>
      <x:c r="E120" s="29" t="str">
        <x:v>P2_retained_candidate</x:v>
      </x:c>
      <x:c r="F120" s="29" t="str">
        <x:v>abstract_only_no_fulltext_repair</x:v>
      </x:c>
      <x:c r="G120" s="29" t="str">
        <x:v>active extraction route uses the public abstract; no full-text artifact is required</x:v>
      </x:c>
      <x:c r="H120" s="30" t="str">
        <x:v>https://doi.org/10.1038/s41380-023-02360-0</x:v>
      </x:c>
    </x:row>
    <x:row r="121" ht="118.80000305175781" hidden="0" customHeight="1">
      <x:c r="A121" s="28" t="str">
        <x:v>10.1038/s41380-023-02380-w</x:v>
      </x:c>
      <x:c r="B121" s="29" t="str">
        <x:v>Roles of the medial and lateral orbitofrontal cortex in major depression and its treatment</x:v>
      </x:c>
      <x:c r="C121" s="29" t="str">
        <x:v>review</x:v>
      </x:c>
      <x:c r="D121" s="29" t="n">
        <x:v>0</x:v>
      </x:c>
      <x:c r="E121" s="29" t="str">
        <x:v>P2_retained_candidate</x:v>
      </x:c>
      <x:c r="F121" s="29" t="str">
        <x:v>abstract_only_no_fulltext_repair</x:v>
      </x:c>
      <x:c r="G121" s="29" t="str">
        <x:v>active extraction route uses the public abstract; no full-text artifact is required</x:v>
      </x:c>
      <x:c r="H121" s="30" t="str">
        <x:v>https://doi.org/10.1038/s41380-023-02380-w</x:v>
      </x:c>
    </x:row>
    <x:row r="122" ht="211.1999969482422" hidden="0" customHeight="1">
      <x:c r="A122" s="28" t="str">
        <x:v>10.1038/s41380-024-02655-w</x:v>
      </x:c>
      <x:c r="B122" s="29" t="str">
        <x:v>Serotonergic psychedelic 5-MeO-DMT alters plasticity-related gene expression and generates anxiolytic effects in stressed mice</x:v>
      </x:c>
      <x:c r="C122" s="29" t="str">
        <x:v>primary</x:v>
      </x:c>
      <x:c r="D122" s="29" t="n">
        <x:v>2</x:v>
      </x:c>
      <x:c r="E122" s="29" t="str">
        <x:v>P0_existing_kg_and_retained</x:v>
      </x:c>
      <x:c r="F122" s="29" t="str">
        <x:v>abstract_only_no_fulltext_repair</x:v>
      </x:c>
      <x:c r="G122" s="29" t="str">
        <x:v>active extraction route uses the public abstract; no full-text artifact is required</x:v>
      </x:c>
      <x:c r="H122" s="30" t="str">
        <x:v>https://doi.org/10.1038/s41380-024-02655-w</x:v>
      </x:c>
    </x:row>
    <x:row r="123" ht="158.39999389648438" hidden="0" customHeight="1">
      <x:c r="A123" s="28" t="str">
        <x:v>10.1038/s41380-025-03100-2</x:v>
      </x:c>
      <x:c r="B123" s="29" t="str">
        <x:v>The therapeutic potential of psilocybin beyond psychedelia through shared mechanisms with ketamine</x:v>
      </x:c>
      <x:c r="C123" s="29" t="str">
        <x:v>review</x:v>
      </x:c>
      <x:c r="D123" s="29" t="n">
        <x:v>0</x:v>
      </x:c>
      <x:c r="E123" s="29" t="str">
        <x:v>P2_retained_candidate</x:v>
      </x:c>
      <x:c r="F123" s="29" t="str">
        <x:v>abstract_only_no_fulltext_repair</x:v>
      </x:c>
      <x:c r="G123" s="29" t="str">
        <x:v>active extraction route uses the public abstract; no full-text artifact is required</x:v>
      </x:c>
      <x:c r="H123" s="30" t="str">
        <x:v>https://doi.org/10.1038/s41380-025-03100-2</x:v>
      </x:c>
    </x:row>
    <x:row r="124" ht="145.1999969482422" hidden="0" customHeight="1">
      <x:c r="A124" s="28" t="str">
        <x:v>10.1038/s41380-025-03168-w</x:v>
      </x:c>
      <x:c r="B124" s="29" t="str">
        <x:v>Exploring the therapeutic potential of psychedelics in treating substance use disorders</x:v>
      </x:c>
      <x:c r="C124" s="29" t="str">
        <x:v>review</x:v>
      </x:c>
      <x:c r="D124" s="29" t="n">
        <x:v>0</x:v>
      </x:c>
      <x:c r="E124" s="29" t="str">
        <x:v>P2_retained_candidate</x:v>
      </x:c>
      <x:c r="F124" s="29" t="str">
        <x:v>abstract_only_no_fulltext_repair</x:v>
      </x:c>
      <x:c r="G124" s="29" t="str">
        <x:v>active extraction route uses the public abstract; no full-text artifact is required</x:v>
      </x:c>
      <x:c r="H124" s="30" t="str">
        <x:v>https://doi.org/10.1038/s41380-025-03168-w</x:v>
      </x:c>
    </x:row>
    <x:row r="125" ht="250.8000030517578" hidden="0" customHeight="1">
      <x:c r="A125" s="28" t="str">
        <x:v>10.1038/s41380-025-03320-6</x:v>
      </x:c>
      <x:c r="B125" s="29" t="str">
        <x:v>Efficacy and safety of esketamine on major depression, postpartum depression and perioperative depression: a systematic review and meta-analysis</x:v>
      </x:c>
      <x:c r="C125" s="29" t="str">
        <x:v>meta_analysis</x:v>
      </x:c>
      <x:c r="D125" s="29" t="n">
        <x:v>0</x:v>
      </x:c>
      <x:c r="E125" s="29" t="str">
        <x:v>P2_retained_candidate</x:v>
      </x:c>
      <x:c r="F125" s="29" t="str">
        <x:v>abstract_only_no_fulltext_repair</x:v>
      </x:c>
      <x:c r="G125" s="29" t="str">
        <x:v>active extraction route uses the public abstract; no full-text artifact is required</x:v>
      </x:c>
      <x:c r="H125" s="30" t="str">
        <x:v>https://doi.org/10.1038/s41380-025-03320-6</x:v>
      </x:c>
    </x:row>
    <x:row r="126" ht="224.39999389648438" hidden="0" customHeight="1">
      <x:c r="A126" s="28" t="str">
        <x:v>10.1038/s41380-025-03329-x</x:v>
      </x:c>
      <x:c r="B126" s="29" t="str">
        <x:v>Psilocybin mitigates chronic behavioral and neurobiological alterations in a rat model of recurrent intimate partner violence-related brain injury</x:v>
      </x:c>
      <x:c r="C126" s="29" t="str">
        <x:v>primary</x:v>
      </x:c>
      <x:c r="D126" s="29" t="n">
        <x:v>0</x:v>
      </x:c>
      <x:c r="E126" s="29" t="str">
        <x:v>P2_retained_candidate</x:v>
      </x:c>
      <x:c r="F126" s="29" t="str">
        <x:v>abstract_only_no_fulltext_repair</x:v>
      </x:c>
      <x:c r="G126" s="29" t="str">
        <x:v>active extraction route uses the public abstract; no full-text artifact is required</x:v>
      </x:c>
      <x:c r="H126" s="30" t="str">
        <x:v>https://doi.org/10.1038/s41380-025-03329-x</x:v>
      </x:c>
    </x:row>
    <x:row r="127" ht="290.3999938964844" hidden="0" customHeight="1">
      <x:c r="A127" s="28" t="str">
        <x:v>10.1038/s41380-025-03338-w</x:v>
      </x:c>
      <x:c r="B127" s="29" t="str">
        <x:v>Ketamine reduces microglial activation and brain monocyte infiltration and promotes peripheral regulatory immune cells, relieving lipopolysaccharide (LPS)-induced depressive-like behavior in mice</x:v>
      </x:c>
      <x:c r="C127" s="29" t="str">
        <x:v>primary</x:v>
      </x:c>
      <x:c r="D127" s="29" t="n">
        <x:v>0</x:v>
      </x:c>
      <x:c r="E127" s="29" t="str">
        <x:v>P2_retained_candidate</x:v>
      </x:c>
      <x:c r="F127" s="29" t="str">
        <x:v>abstract_only_no_fulltext_repair</x:v>
      </x:c>
      <x:c r="G127" s="29" t="str">
        <x:v>active extraction route uses the public abstract; no full-text artifact is required</x:v>
      </x:c>
      <x:c r="H127" s="30" t="str">
        <x:v>https://doi.org/10.1038/s41380-025-03338-w</x:v>
      </x:c>
    </x:row>
    <x:row r="128" ht="237.60000610351562" hidden="0" customHeight="1">
      <x:c r="A128" s="28" t="str">
        <x:v>10.1038/s41380-026-03575-7</x:v>
      </x:c>
      <x:c r="B128" s="29" t="str">
        <x:v>TrkB promotes the neuronal secretion of soluble Siglec-2 (CD22) to mitigate microglial activation and alleviate depression-like behaviors in male mice</x:v>
      </x:c>
      <x:c r="C128" s="29" t="str">
        <x:v>primary</x:v>
      </x:c>
      <x:c r="D128" s="29" t="n">
        <x:v>0</x:v>
      </x:c>
      <x:c r="E128" s="29" t="str">
        <x:v>P2_retained_candidate</x:v>
      </x:c>
      <x:c r="F128" s="29" t="str">
        <x:v>abstract_only_no_fulltext_repair</x:v>
      </x:c>
      <x:c r="G128" s="29" t="str">
        <x:v>active extraction route uses the public abstract; no full-text artifact is required</x:v>
      </x:c>
      <x:c r="H128" s="30" t="str">
        <x:v>https://doi.org/10.1038/s41380-026-03575-7</x:v>
      </x:c>
    </x:row>
    <x:row r="129" ht="105.5999984741211" hidden="0" customHeight="1">
      <x:c r="A129" s="28" t="str">
        <x:v>10.1038/s41386-026-02371-9</x:v>
      </x:c>
      <x:c r="B129" s="29" t="str">
        <x:v>Investigational drugs in PTSD</x:v>
      </x:c>
      <x:c r="C129" s="29" t="str">
        <x:v>review</x:v>
      </x:c>
      <x:c r="D129" s="29" t="n">
        <x:v>0</x:v>
      </x:c>
      <x:c r="E129" s="29" t="str">
        <x:v>P2_retained_candidate</x:v>
      </x:c>
      <x:c r="F129" s="29" t="str">
        <x:v>abstract_only_no_fulltext_repair</x:v>
      </x:c>
      <x:c r="G129" s="29" t="str">
        <x:v>active extraction route uses the public abstract; no full-text artifact is required</x:v>
      </x:c>
      <x:c r="H129" s="30" t="str">
        <x:v>https://doi.org/10.1038/s41386-026-02371-9</x:v>
      </x:c>
    </x:row>
    <x:row r="130" ht="132" hidden="0" customHeight="1">
      <x:c r="A130" s="28" t="str">
        <x:v>10.1038/s41397-026-00405-5</x:v>
      </x:c>
      <x:c r="B130" s="29" t="str">
        <x:v>The role of cytochrome P450 polymorphisms in the pharmacokinetics of oral esketamine</x:v>
      </x:c>
      <x:c r="C130" s="29" t="str">
        <x:v>primary</x:v>
      </x:c>
      <x:c r="D130" s="29" t="n">
        <x:v>0</x:v>
      </x:c>
      <x:c r="E130" s="29" t="str">
        <x:v>P2_retained_candidate</x:v>
      </x:c>
      <x:c r="F130" s="29" t="str">
        <x:v>abstract_only_no_fulltext_repair</x:v>
      </x:c>
      <x:c r="G130" s="29" t="str">
        <x:v>active extraction route uses the public abstract; no full-text artifact is required</x:v>
      </x:c>
      <x:c r="H130" s="30" t="str">
        <x:v>https://doi.org/10.1038/s41397-026-00405-5</x:v>
      </x:c>
    </x:row>
    <x:row r="131" ht="118.80000305175781" hidden="0" customHeight="1">
      <x:c r="A131" s="28" t="str">
        <x:v>10.1038/s41586-020-03047-0</x:v>
      </x:c>
      <x:c r="B131" s="29" t="str">
        <x:v>Antidepressant actions of ketamine engage cell-specific translation via eIF4E</x:v>
      </x:c>
      <x:c r="C131" s="29" t="str">
        <x:v>primary</x:v>
      </x:c>
      <x:c r="D131" s="29" t="n">
        <x:v>7</x:v>
      </x:c>
      <x:c r="E131" s="29" t="str">
        <x:v>P0_existing_kg_and_retained</x:v>
      </x:c>
      <x:c r="F131" s="29" t="str">
        <x:v>abstract_only_no_fulltext_repair</x:v>
      </x:c>
      <x:c r="G131" s="29" t="str">
        <x:v>active extraction route uses the public abstract; no full-text artifact is required</x:v>
      </x:c>
      <x:c r="H131" s="30" t="str">
        <x:v>https://doi.org/10.1038/s41586-020-03047-0</x:v>
      </x:c>
    </x:row>
    <x:row r="132" ht="105.5999984741211" hidden="0" customHeight="1">
      <x:c r="A132" s="28" t="str">
        <x:v>10.1038/s41586-022-04993-7</x:v>
      </x:c>
      <x:c r="B132" s="29" t="str">
        <x:v>Dual action of ketamine confines addiction liability</x:v>
      </x:c>
      <x:c r="C132" s="29" t="str">
        <x:v>primary</x:v>
      </x:c>
      <x:c r="D132" s="29" t="n">
        <x:v>7</x:v>
      </x:c>
      <x:c r="E132" s="29" t="str">
        <x:v>P0_existing_kg_and_retained</x:v>
      </x:c>
      <x:c r="F132" s="29" t="str">
        <x:v>abstract_only_no_fulltext_repair</x:v>
      </x:c>
      <x:c r="G132" s="29" t="str">
        <x:v>active extraction route uses the public abstract; no full-text artifact is required</x:v>
      </x:c>
      <x:c r="H132" s="30" t="str">
        <x:v>https://doi.org/10.1038/s41586-022-04993-7</x:v>
      </x:c>
    </x:row>
    <x:row r="133" ht="118.80000305175781" hidden="0" customHeight="1">
      <x:c r="A133" s="28" t="str">
        <x:v>10.1038/s41586-025-10061-7</x:v>
      </x:c>
      <x:c r="B133" s="29" t="str">
        <x:v>Psychedelics elicit their effects by 5-HT2A receptor-mediated Gi signalling</x:v>
      </x:c>
      <x:c r="C133" s="29" t="str">
        <x:v>primary</x:v>
      </x:c>
      <x:c r="D133" s="29" t="n">
        <x:v>6</x:v>
      </x:c>
      <x:c r="E133" s="29" t="str">
        <x:v>P0_existing_kg_and_retained</x:v>
      </x:c>
      <x:c r="F133" s="29" t="str">
        <x:v>abstract_only_no_fulltext_repair</x:v>
      </x:c>
      <x:c r="G133" s="29" t="str">
        <x:v>active extraction route uses the public abstract; no full-text artifact is required</x:v>
      </x:c>
      <x:c r="H133" s="30" t="str">
        <x:v>https://doi.org/10.1038/s41586-025-10061-7</x:v>
      </x:c>
    </x:row>
    <x:row r="134" ht="105.5999984741211" hidden="0" customHeight="1">
      <x:c r="A134" s="28" t="str">
        <x:v>10.1038/s41593-023-01436-y</x:v>
      </x:c>
      <x:c r="B134" s="29" t="str">
        <x:v>GluN2A mediates ketamine-induced rapid antidepressant-like responses</x:v>
      </x:c>
      <x:c r="C134" s="29" t="str">
        <x:v>primary</x:v>
      </x:c>
      <x:c r="D134" s="29" t="n">
        <x:v>4</x:v>
      </x:c>
      <x:c r="E134" s="29" t="str">
        <x:v>P0_existing_kg_and_retained</x:v>
      </x:c>
      <x:c r="F134" s="29" t="str">
        <x:v>abstract_only_no_fulltext_repair</x:v>
      </x:c>
      <x:c r="G134" s="29" t="str">
        <x:v>active extraction route uses the public abstract; no full-text artifact is required</x:v>
      </x:c>
      <x:c r="H134" s="30" t="str">
        <x:v>https://doi.org/10.1038/s41593-023-01436-y</x:v>
      </x:c>
    </x:row>
    <x:row r="135" ht="145.1999969482422" hidden="0" customHeight="1">
      <x:c r="A135" s="28" t="str">
        <x:v>10.1038/s41593-025-01964-9</x:v>
      </x:c>
      <x:c r="B135" s="29" t="str">
        <x:v>Psilocybin-enhanced fear extinction linked to bidirectional modulation of cortical ensembles</x:v>
      </x:c>
      <x:c r="C135" s="29" t="str">
        <x:v>primary</x:v>
      </x:c>
      <x:c r="D135" s="29" t="n">
        <x:v>3</x:v>
      </x:c>
      <x:c r="E135" s="29" t="str">
        <x:v>P0_existing_kg_and_retained</x:v>
      </x:c>
      <x:c r="F135" s="29" t="str">
        <x:v>abstract_only_no_fulltext_repair</x:v>
      </x:c>
      <x:c r="G135" s="29" t="str">
        <x:v>active extraction route uses the public abstract; no full-text artifact is required</x:v>
      </x:c>
      <x:c r="H135" s="30" t="str">
        <x:v>https://doi.org/10.1038/s41593-025-01964-9</x:v>
      </x:c>
    </x:row>
    <x:row r="136" ht="105.5999984741211" hidden="0" customHeight="1">
      <x:c r="A136" s="28" t="str">
        <x:v>10.1038/s44161-025-00608-2</x:v>
      </x:c>
      <x:c r="B136" s="29" t="str">
        <x:v>Cardiovascular effects and safety of classic psychedelics</x:v>
      </x:c>
      <x:c r="C136" s="29" t="str">
        <x:v>review</x:v>
      </x:c>
      <x:c r="D136" s="29" t="n">
        <x:v>0</x:v>
      </x:c>
      <x:c r="E136" s="29" t="str">
        <x:v>P2_retained_candidate</x:v>
      </x:c>
      <x:c r="F136" s="29" t="str">
        <x:v>abstract_only_no_fulltext_repair</x:v>
      </x:c>
      <x:c r="G136" s="29" t="str">
        <x:v>active extraction route uses the public abstract; no full-text artifact is required</x:v>
      </x:c>
      <x:c r="H136" s="30" t="str">
        <x:v>https://doi.org/10.1038/s44161-025-00608-2</x:v>
      </x:c>
    </x:row>
    <x:row r="137" ht="250.8000030517578" hidden="0" customHeight="1">
      <x:c r="A137" s="28" t="str">
        <x:v>10.1248/bpb.20.969</x:v>
      </x:c>
      <x:c r="B137" s="29" t="str">
        <x:v>Hair Analysis for Drugs of Abuse. XVIII. 3,4-Methylenedioxymethamphetamine (MDMA) Disposition in Hair Roots and Use in Identification of Acute MDMA Poisoning.</x:v>
      </x:c>
      <x:c r="C137" s="29" t="str">
        <x:v>primary</x:v>
      </x:c>
      <x:c r="D137" s="29" t="n">
        <x:v>0</x:v>
      </x:c>
      <x:c r="E137" s="29" t="str">
        <x:v>P2_retained_candidate</x:v>
      </x:c>
      <x:c r="F137" s="29" t="str">
        <x:v>abstract_only_no_fulltext_repair</x:v>
      </x:c>
      <x:c r="G137" s="29" t="str">
        <x:v>active extraction route uses the public abstract; no full-text artifact is required</x:v>
      </x:c>
      <x:c r="H137" s="30" t="str">
        <x:v>https://doi.org/10.1248/bpb.20.969</x:v>
      </x:c>
    </x:row>
    <x:row r="138" ht="224.39999389648438" hidden="0" customHeight="1">
      <x:c r="A138" s="31" t="str">
        <x:v>10.1248/bpb.23.1521</x:v>
      </x:c>
      <x:c r="B138" s="32" t="str">
        <x:v>Effects of the 5-HT2A Receptor Agonist 1-(2,5-Dimethoxy-4-iodophenyl)-2-aminopropane (DOI) on Plasma Glucose and Glucagon Levels of Rats.</x:v>
      </x:c>
      <x:c r="C138" s="32" t="str">
        <x:v>primary</x:v>
      </x:c>
      <x:c r="D138" s="32" t="n">
        <x:v>0</x:v>
      </x:c>
      <x:c r="E138" s="32" t="str">
        <x:v>P2_retained_candidate</x:v>
      </x:c>
      <x:c r="F138" s="32" t="str">
        <x:v>abstract_only_no_fulltext_repair</x:v>
      </x:c>
      <x:c r="G138" s="32" t="str">
        <x:v>active extraction route uses the public abstract; no full-text artifact is required</x:v>
      </x:c>
      <x:c r="H138" s="33" t="str">
        <x:v>https://doi.org/10.1248/bpb.23.1521</x:v>
      </x:c>
    </x:row>
  </x:sheetData>
  <x:pageMargins left="0.7" right="0.7" top="0.75" bottom="0.75" header="0.3" footer="0.3"/>
  <x:tableParts count="1">
    <x:tablePart xmlns:r="http://schemas.openxmlformats.org/officeDocument/2006/relationships" r:id="Rcfdd986adddc431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56" hidden="0" customWidth="1"/>
    <x:col min="3" max="3" width="20" hidden="0" customWidth="1"/>
    <x:col min="4" max="4" width="12" hidden="0" customWidth="1"/>
    <x:col min="5" max="5" width="27" hidden="0" customWidth="1"/>
    <x:col min="6" max="6" width="30" hidden="0" customWidth="1"/>
    <x:col min="7" max="7" width="54" hidden="0" customWidth="1"/>
    <x:col min="8" max="8" width="40" hidden="0" customWidth="1"/>
    <x:col min="9" max="9" width="62" hidden="0" customWidth="1"/>
    <x:col min="10" max="10" width="48" hidden="0" customWidth="1"/>
  </x:cols>
  <x:sheetData>
    <x:row r="1" ht="30" customHeight="1">
      <x:c r="A1" s="43" t="str">
        <x:v>DOI</x:v>
      </x:c>
      <x:c r="B1" s="44" t="str">
        <x:v>Title</x:v>
      </x:c>
      <x:c r="C1" s="44" t="str">
        <x:v>Paper type</x:v>
      </x:c>
      <x:c r="D1" s="44" t="str">
        <x:v>KG findings</x:v>
      </x:c>
      <x:c r="E1" s="44" t="str">
        <x:v>Priority</x:v>
      </x:c>
      <x:c r="F1" s="44" t="str">
        <x:v>Pipeline route</x:v>
      </x:c>
      <x:c r="G1" s="44" t="str">
        <x:v>Candidate URL</x:v>
      </x:c>
      <x:c r="H1" s="44" t="str">
        <x:v>Artifact problem</x:v>
      </x:c>
      <x:c r="I1" s="44" t="str">
        <x:v>Required identity fix</x:v>
      </x:c>
      <x:c r="J1" s="45" t="str">
        <x:v>DOI URL</x:v>
      </x:c>
    </x:row>
    <x:row r="2" ht="475.20001220703125" hidden="0" customHeight="1">
      <x:c r="A2" s="25" t="str">
        <x:v>10.1192/j.eurpsy.2025.10096</x:v>
      </x:c>
      <x:c r="B2" s="26" t="str">
        <x:v>Esketamine use in real-world clinical practice in patients with treatment-resistant depression.</x:v>
      </x:c>
      <x:c r="C2" s="26" t="str">
        <x:v>primary</x:v>
      </x:c>
      <x:c r="D2" s="26" t="n">
        <x:v>13</x:v>
      </x:c>
      <x:c r="E2" s="26" t="str">
        <x:v>P0_existing_kg_and_retained</x:v>
      </x:c>
      <x:c r="F2" s="26" t="str">
        <x:v>automated_url_validation</x:v>
      </x:c>
      <x:c r="G2" s="26" t="str">
        <x:v>https://hal.science/hal-05226459v1/document | https://www.cambridge.org/core/services/aop-cambridge-core/content/view/BA7E2B3A3BD1CCE77B10DE8C4A301CF5/S0924933825100965a.pdf/div-class-title-esketamine-use-in-real-world-clinical-practice-in-patients-with-treatment-resistant-depression-div.pdf | https://doi.org/10.1192/j.eurpsy.2025.10096</x:v>
      </x:c>
      <x:c r="H2" s="26" t="str">
        <x:v>manual_exact_item_from_proceedings</x:v>
      </x:c>
      <x:c r="I2" s="26" t="str">
        <x:v>Retain the search record, but acquire an item-specific PDF/JATS record or slice the exact DOI/title item from the proceedings container.</x:v>
      </x:c>
      <x:c r="J2" s="27" t="str">
        <x:v>https://doi.org/10.1192/j.eurpsy.2025.10096</x:v>
      </x:c>
    </x:row>
    <x:row r="3" ht="660" hidden="0" customHeight="1">
      <x:c r="A3" s="28" t="str">
        <x:v>10.1192/j.eurpsy.2024.1744</x:v>
      </x:c>
      <x:c r="B3" s="29" t="str">
        <x:v>Functional connectivity of the amygdala subregions and the antidepressant effects of repeated ketamine infusions in major depressive disorder</x:v>
      </x:c>
      <x:c r="C3" s="29" t="str">
        <x:v>primary</x:v>
      </x:c>
      <x:c r="D3" s="29" t="n">
        <x:v>9</x:v>
      </x:c>
      <x:c r="E3" s="29" t="str">
        <x:v>P0_existing_kg_and_retained</x:v>
      </x:c>
      <x:c r="F3" s="29" t="str">
        <x:v>automated_url_validation</x:v>
      </x:c>
      <x:c r="G3" s="29" t="str">
        <x:v>https://europepmc.org/api/getPdf?pmcid=PMC11059247 | https://pmc.ncbi.nlm.nih.gov/articles/PMC11059247/pdf/S0924933824017449a.pdf | https://www.cambridge.org/core/services/aop-cambridge-core/content/view/8FF1D3362FB36199D15F9BAC5C313DAC/S0924933824017449a.pdf/div-class-title-functional-connectivity-of-the-amygdala-subregions-and-the-antidepressant-effects-of-repeated-ketamine-infusions-in-major-depressive-disorder-div.pdf | https://doi.org/10.1192/j.eurpsy.2024.1744</x:v>
      </x:c>
      <x:c r="H3" s="29" t="str">
        <x:v>manual_exact_item_from_proceedings</x:v>
      </x:c>
      <x:c r="I3" s="29" t="str">
        <x:v>Retain the search record, but acquire an item-specific PDF/JATS record or slice the exact DOI/title item from the proceedings container.</x:v>
      </x:c>
      <x:c r="J3" s="30" t="str">
        <x:v>https://doi.org/10.1192/j.eurpsy.2024.1744</x:v>
      </x:c>
    </x:row>
    <x:row r="4" ht="316.79998779296875" hidden="0" customHeight="1">
      <x:c r="A4" s="28" t="str">
        <x:v>10.1007/s00213-026-07010-1</x:v>
      </x:c>
      <x:c r="B4" s="29" t="str">
        <x:v>A repeated low-dose regimen of MDMA has transient next-day effects on locomotor activity, anxiety-like behavior, and brain serotonin levels, with no effect on anhedonia-like behavior, in both female and male rats</x:v>
      </x:c>
      <x:c r="C4" s="29" t="str">
        <x:v>primary</x:v>
      </x:c>
      <x:c r="D4" s="29" t="n">
        <x:v>10</x:v>
      </x:c>
      <x:c r="E4" s="29" t="str">
        <x:v>P0_existing_kg_and_retained</x:v>
      </x:c>
      <x:c r="F4" s="29" t="str">
        <x:v>public_source_discovery</x:v>
      </x:c>
      <x:c r="G4" s="29" t="str"/>
      <x:c r="H4" s="29" t="str">
        <x:v>manual_identity_mismatch</x:v>
      </x:c>
      <x:c r="I4" s="29" t="str">
        <x:v>Acquire a replacement because the quarantined artifact belongs to a different document.</x:v>
      </x:c>
      <x:c r="J4" s="30" t="str">
        <x:v>https://doi.org/10.1007/s00213-026-07010-1</x:v>
      </x:c>
    </x:row>
    <x:row r="5" ht="264" hidden="0" customHeight="1">
      <x:c r="A5" s="28" t="str">
        <x:v>10.1111/pcn.13379</x:v>
      </x:c>
      <x:c r="B5" s="29" t="str">
        <x:v>Different symptomatic improvement pattern revealed by factor analysis between placebo response and response to Esketamine in treatment resistant depression</x:v>
      </x:c>
      <x:c r="C5" s="29" t="str">
        <x:v>primary</x:v>
      </x:c>
      <x:c r="D5" s="29" t="n">
        <x:v>9</x:v>
      </x:c>
      <x:c r="E5" s="29" t="str">
        <x:v>P0_existing_kg_and_retained</x:v>
      </x:c>
      <x:c r="F5" s="29" t="str">
        <x:v>public_source_discovery</x:v>
      </x:c>
      <x:c r="G5" s="29" t="str"/>
      <x:c r="H5" s="29" t="str">
        <x:v>manual_conflicting_doi_needs_resolution</x:v>
      </x:c>
      <x:c r="I5" s="29" t="str">
        <x:v>Confirm a registered version/alias relationship or acquire the exact requested DOI; do not accept a merely similar title.</x:v>
      </x:c>
      <x:c r="J5" s="30" t="str">
        <x:v>https://doi.org/10.1111/pcn.13379</x:v>
      </x:c>
    </x:row>
    <x:row r="6" ht="184.8000030517578" hidden="0" customHeight="1">
      <x:c r="A6" s="28" t="str">
        <x:v>10.1016/j.annemergmed.2006.09.018</x:v>
      </x:c>
      <x:c r="B6" s="29" t="str">
        <x:v>Patterns of Ecstasy-Associated Hyponatremia in California</x:v>
      </x:c>
      <x:c r="C6" s="29" t="str">
        <x:v>primary</x:v>
      </x:c>
      <x:c r="D6" s="29" t="n">
        <x:v>8</x:v>
      </x:c>
      <x:c r="E6" s="29" t="str">
        <x:v>P0_existing_kg_and_retained</x:v>
      </x:c>
      <x:c r="F6" s="29" t="str">
        <x:v>public_source_discovery</x:v>
      </x:c>
      <x:c r="G6" s="29" t="str"/>
      <x:c r="H6" s="29" t="str">
        <x:v>manual_identity_unverified</x:v>
      </x:c>
      <x:c r="I6" s="29" t="str">
        <x:v>Acquire an independently verifiable source because the prior artifact lacked sufficient document-level identity evidence.</x:v>
      </x:c>
      <x:c r="J6" s="30" t="str">
        <x:v>https://doi.org/10.1016/j.annemergmed.2006.09.018</x:v>
      </x:c>
    </x:row>
    <x:row r="7" ht="224.39999389648438" hidden="0" customHeight="1">
      <x:c r="A7" s="28" t="str">
        <x:v>10.1523/jneurosci.16-01-00373.1996</x:v>
      </x:c>
      <x:c r="B7" s="29" t="str">
        <x:v>NMDA receptor antagonists impair prefrontal cortex function as assessed via spatial delayed alternation performance in rats: modulation by dopamine</x:v>
      </x:c>
      <x:c r="C7" s="29" t="str">
        <x:v>primary</x:v>
      </x:c>
      <x:c r="D7" s="29" t="n">
        <x:v>8</x:v>
      </x:c>
      <x:c r="E7" s="29" t="str">
        <x:v>P0_existing_kg_and_retained</x:v>
      </x:c>
      <x:c r="F7" s="29" t="str">
        <x:v>public_source_discovery</x:v>
      </x:c>
      <x:c r="G7" s="29" t="str"/>
      <x:c r="H7" s="29" t="str">
        <x:v>manual_identity_unverified</x:v>
      </x:c>
      <x:c r="I7" s="29" t="str">
        <x:v>Acquire an independently verifiable source because the prior artifact lacked sufficient document-level identity evidence.</x:v>
      </x:c>
      <x:c r="J7" s="30" t="str">
        <x:v>https://doi.org/10.1523/jneurosci.16-01-00373.1996</x:v>
      </x:c>
    </x:row>
    <x:row r="8" ht="158.39999389648438" hidden="0" customHeight="1">
      <x:c r="A8" s="28" t="str">
        <x:v>10.3758/s13415-023-01118-z</x:v>
      </x:c>
      <x:c r="B8" s="29" t="str">
        <x:v>Age-related impairment in fear memory extinction is restored by ketamine in middle-aged mice</x:v>
      </x:c>
      <x:c r="C8" s="29" t="str">
        <x:v>primary</x:v>
      </x:c>
      <x:c r="D8" s="29" t="n">
        <x:v>8</x:v>
      </x:c>
      <x:c r="E8" s="29" t="str">
        <x:v>P0_existing_kg_and_retained</x:v>
      </x:c>
      <x:c r="F8" s="29" t="str">
        <x:v>public_source_discovery</x:v>
      </x:c>
      <x:c r="G8" s="29" t="str"/>
      <x:c r="H8" s="29" t="str">
        <x:v>manual_identity_mismatch</x:v>
      </x:c>
      <x:c r="I8" s="29" t="str">
        <x:v>Acquire a replacement because the quarantined artifact belongs to a different document.</x:v>
      </x:c>
      <x:c r="J8" s="30" t="str">
        <x:v>https://doi.org/10.3758/s13415-023-01118-z</x:v>
      </x:c>
    </x:row>
    <x:row r="9" ht="184.8000030517578" hidden="0" customHeight="1">
      <x:c r="A9" s="28" t="str">
        <x:v>10.1007/s00213-026-07058-z</x:v>
      </x:c>
      <x:c r="B9" s="29" t="str">
        <x:v>Single exposure to Ayahuasca reverses chronic stress effects on sociability, anxiety, cortisol, and BDNF in zebrafish</x:v>
      </x:c>
      <x:c r="C9" s="29" t="str">
        <x:v>primary</x:v>
      </x:c>
      <x:c r="D9" s="29" t="n">
        <x:v>6</x:v>
      </x:c>
      <x:c r="E9" s="29" t="str">
        <x:v>P0_existing_kg_and_retained</x:v>
      </x:c>
      <x:c r="F9" s="29" t="str">
        <x:v>public_source_discovery</x:v>
      </x:c>
      <x:c r="G9" s="29" t="str"/>
      <x:c r="H9" s="29" t="str">
        <x:v>manual_identity_mismatch</x:v>
      </x:c>
      <x:c r="I9" s="29" t="str">
        <x:v>Acquire a replacement because the quarantined artifact belongs to a different document.</x:v>
      </x:c>
      <x:c r="J9" s="30" t="str">
        <x:v>https://doi.org/10.1007/s00213-026-07058-z</x:v>
      </x:c>
    </x:row>
    <x:row r="10" ht="198" hidden="0" customHeight="1">
      <x:c r="A10" s="28" t="str">
        <x:v>10.1177/2045125316675578</x:v>
      </x:c>
      <x:c r="B10" s="29" t="str">
        <x:v>Use of repeated intravenous ketamine therapy in treatment-resistant bipolar depression with suicidal behaviour: a case report from Spain</x:v>
      </x:c>
      <x:c r="C10" s="29" t="str">
        <x:v>primary</x:v>
      </x:c>
      <x:c r="D10" s="29" t="n">
        <x:v>6</x:v>
      </x:c>
      <x:c r="E10" s="29" t="str">
        <x:v>P0_existing_kg_and_retained</x:v>
      </x:c>
      <x:c r="F10" s="29" t="str">
        <x:v>public_source_discovery</x:v>
      </x:c>
      <x:c r="G10" s="29" t="str"/>
      <x:c r="H10" s="29" t="str">
        <x:v>manual_conflicting_doi_needs_resolution</x:v>
      </x:c>
      <x:c r="I10" s="29" t="str">
        <x:v>Confirm a registered version/alias relationship or acquire the exact requested DOI; do not accept a merely similar title.</x:v>
      </x:c>
      <x:c r="J10" s="30" t="str">
        <x:v>https://doi.org/10.1177/2045125316675578</x:v>
      </x:c>
    </x:row>
    <x:row r="11" ht="435.6000061035156" hidden="0" customHeight="1">
      <x:c r="A11" s="28" t="str">
        <x:v>10.1192/j.eurpsy.2025.10123</x:v>
      </x:c>
      <x:c r="B11" s="29" t="str">
        <x:v>Improvements in health-related quality of life with esketamine nasal spray versus quetiapine extended release.</x:v>
      </x:c>
      <x:c r="C11" s="29" t="str">
        <x:v>primary</x:v>
      </x:c>
      <x:c r="D11" s="29" t="n">
        <x:v>6</x:v>
      </x:c>
      <x:c r="E11" s="29" t="str">
        <x:v>P0_existing_kg_and_retained</x:v>
      </x:c>
      <x:c r="F11" s="29" t="str">
        <x:v>automated_url_validation</x:v>
      </x:c>
      <x:c r="G11" s="29" t="str">
        <x:v>https://www.cambridge.org/core/services/aop-cambridge-core/content/view/CDDD815D486351BB8123BFCF08418BBC/S0924933825101235a.pdf/div-class-title-improvements-in-health-related-quality-of-life-with-esketamine-nasal-spray-versus-quetiapine-extended-release-div.pdf | https://doi.org/10.1192/j.eurpsy.2025.10123</x:v>
      </x:c>
      <x:c r="H11" s="29" t="str">
        <x:v>manual_exact_item_from_proceedings</x:v>
      </x:c>
      <x:c r="I11" s="29" t="str">
        <x:v>Retain the search record, but acquire an item-specific PDF/JATS record or slice the exact DOI/title item from the proceedings container.</x:v>
      </x:c>
      <x:c r="J11" s="30" t="str">
        <x:v>https://doi.org/10.1192/j.eurpsy.2025.10123</x:v>
      </x:c>
    </x:row>
    <x:row r="12" ht="184.8000030517578" hidden="0" customHeight="1">
      <x:c r="A12" s="28" t="str">
        <x:v>10.1074/jbc.271.25.14672</x:v>
      </x:c>
      <x:c r="B12" s="29" t="str">
        <x:v>Mapping the Binding Site Pocket of the Serotonin 5-Hydroxytryptamine2A Receptor</x:v>
      </x:c>
      <x:c r="C12" s="29" t="str">
        <x:v>primary</x:v>
      </x:c>
      <x:c r="D12" s="29" t="n">
        <x:v>5</x:v>
      </x:c>
      <x:c r="E12" s="29" t="str">
        <x:v>P0_existing_kg_and_retained</x:v>
      </x:c>
      <x:c r="F12" s="29" t="str">
        <x:v>public_source_discovery</x:v>
      </x:c>
      <x:c r="G12" s="29" t="str"/>
      <x:c r="H12" s="29" t="str">
        <x:v>manual_identity_unverified</x:v>
      </x:c>
      <x:c r="I12" s="29" t="str">
        <x:v>Acquire an independently verifiable source because the prior artifact lacked sufficient document-level identity evidence.</x:v>
      </x:c>
      <x:c r="J12" s="30" t="str">
        <x:v>https://doi.org/10.1074/jbc.271.25.14672</x:v>
      </x:c>
    </x:row>
    <x:row r="13" ht="211.1999969482422" hidden="0" customHeight="1">
      <x:c r="A13" s="28" t="str">
        <x:v>10.1093/sleep/32.11.1513</x:v>
      </x:c>
      <x:c r="B13" s="29" t="str">
        <x:v>Effects of Acute 3, 4-Methylenedioxymethamphetamine on Sleep and Daytime Sleepiness in MDMA Users: A Preliminary Study</x:v>
      </x:c>
      <x:c r="C13" s="29" t="str">
        <x:v>primary</x:v>
      </x:c>
      <x:c r="D13" s="29" t="n">
        <x:v>5</x:v>
      </x:c>
      <x:c r="E13" s="29" t="str">
        <x:v>P0_existing_kg_and_retained</x:v>
      </x:c>
      <x:c r="F13" s="29" t="str">
        <x:v>automated_url_validation</x:v>
      </x:c>
      <x:c r="G13" s="29" t="str">
        <x:v>https://academic.oup.com/sleep/article-pdf/32/11/1513/13688374/sleep-32-11-1513.pdf</x:v>
      </x:c>
      <x:c r="H13" s="29" t="str">
        <x:v>manual_exact_item_from_proceedings</x:v>
      </x:c>
      <x:c r="I13" s="29" t="str">
        <x:v>Retain the search record, but acquire an item-specific PDF/JATS record or slice the exact DOI/title item from the proceedings container.</x:v>
      </x:c>
      <x:c r="J13" s="30" t="str">
        <x:v>https://doi.org/10.1093/sleep/32.11.1513</x:v>
      </x:c>
    </x:row>
    <x:row r="14" ht="620.4000244140625" hidden="0" customHeight="1">
      <x:c r="A14" s="28" t="str">
        <x:v>10.1192/j.eurpsy.2023.19</x:v>
      </x:c>
      <x:c r="B14" s="29" t="str">
        <x:v>Pre-treatment functional connectivity of the cingulate cortex predicts anti-suicidal effects of serial ketamine infusions.</x:v>
      </x:c>
      <x:c r="C14" s="29" t="str">
        <x:v>primary</x:v>
      </x:c>
      <x:c r="D14" s="29" t="n">
        <x:v>5</x:v>
      </x:c>
      <x:c r="E14" s="29" t="str">
        <x:v>P0_existing_kg_and_retained</x:v>
      </x:c>
      <x:c r="F14" s="29" t="str">
        <x:v>automated_url_validation</x:v>
      </x:c>
      <x:c r="G14" s="29" t="str">
        <x:v>https://europepmc.org/api/getPdf?pmcid=PMC10134448 | https://pmc.ncbi.nlm.nih.gov/articles/PMC10134448/pdf/S0924933823000196a.pdf | https://www.cambridge.org/core/services/aop-cambridge-core/content/view/E218DAB81F413E9DDA4D7A81AE7D2E58/S0924933823000196a.pdf/div-class-title-pre-treatment-functional-connectivity-of-the-cingulate-cortex-predicts-anti-suicidal-effects-of-serial-ketamine-infusions-div.pdf | https://doi.org/10.1192/j.eurpsy.2023.19</x:v>
      </x:c>
      <x:c r="H14" s="29" t="str">
        <x:v>manual_exact_item_from_proceedings</x:v>
      </x:c>
      <x:c r="I14" s="29" t="str">
        <x:v>Retain the search record, but acquire an item-specific PDF/JATS record or slice the exact DOI/title item from the proceedings container.</x:v>
      </x:c>
      <x:c r="J14" s="30" t="str">
        <x:v>https://doi.org/10.1192/j.eurpsy.2023.19</x:v>
      </x:c>
    </x:row>
    <x:row r="15" ht="184.8000030517578" hidden="0" customHeight="1">
      <x:c r="A15" s="28" t="str">
        <x:v>10.33425/2693-1516.1022</x:v>
      </x:c>
      <x:c r="B15" s="29" t="str">
        <x:v>Psilocybin-based mushrooms and usage</x:v>
      </x:c>
      <x:c r="C15" s="29" t="str">
        <x:v>review</x:v>
      </x:c>
      <x:c r="D15" s="29" t="n">
        <x:v>3</x:v>
      </x:c>
      <x:c r="E15" s="29" t="str">
        <x:v>P0_existing_kg_and_retained</x:v>
      </x:c>
      <x:c r="F15" s="29" t="str">
        <x:v>public_source_discovery</x:v>
      </x:c>
      <x:c r="G15" s="29" t="str"/>
      <x:c r="H15" s="29" t="str">
        <x:v>manual_identity_unverified</x:v>
      </x:c>
      <x:c r="I15" s="29" t="str">
        <x:v>Acquire an independently verifiable source because the prior artifact lacked sufficient document-level identity evidence.</x:v>
      </x:c>
      <x:c r="J15" s="30" t="str">
        <x:v>https://doi.org/10.33425/2693-1516.1022</x:v>
      </x:c>
    </x:row>
    <x:row r="16" ht="184.8000030517578" hidden="0" customHeight="1">
      <x:c r="A16" s="28" t="str">
        <x:v>10.1002/wps.20555</x:v>
      </x:c>
      <x:c r="B16" s="29" t="str">
        <x:v>Serotonin, psychedelics and psychiatry</x:v>
      </x:c>
      <x:c r="C16" s="29" t="str">
        <x:v>narrative_review</x:v>
      </x:c>
      <x:c r="D16" s="29" t="n">
        <x:v>0</x:v>
      </x:c>
      <x:c r="E16" s="29" t="str">
        <x:v>P1_existing_kg_or_curated_signal</x:v>
      </x:c>
      <x:c r="F16" s="29" t="str">
        <x:v>automated_url_validation</x:v>
      </x:c>
      <x:c r="G16" s="29" t="str">
        <x:v>https://onlinelibrary.wiley.com/doi/pdfdirect/10.1002/wps.20555</x:v>
      </x:c>
      <x:c r="H16" s="29" t="str">
        <x:v>manual_identity_unverified</x:v>
      </x:c>
      <x:c r="I16" s="29" t="str">
        <x:v>Acquire an independently verifiable source because the prior artifact lacked sufficient document-level identity evidence.</x:v>
      </x:c>
      <x:c r="J16" s="30" t="str">
        <x:v>https://doi.org/10.1002/wps.20555</x:v>
      </x:c>
    </x:row>
    <x:row r="17" ht="198" hidden="0" customHeight="1">
      <x:c r="A17" s="28" t="str">
        <x:v>10.1038/s41380-018-0256-5</x:v>
      </x:c>
      <x:c r="B17" s="29" t="str">
        <x:v>Double-blind, placebo-controlled, dose-ranging trial of intravenous ketamine as adjunctive therapy in treatment-resistant depression (TRD)</x:v>
      </x:c>
      <x:c r="C17" s="29" t="str">
        <x:v>primary</x:v>
      </x:c>
      <x:c r="D17" s="29" t="n">
        <x:v>0</x:v>
      </x:c>
      <x:c r="E17" s="29" t="str">
        <x:v>P1_existing_kg_or_curated_signal</x:v>
      </x:c>
      <x:c r="F17" s="29" t="str">
        <x:v>automated_url_validation</x:v>
      </x:c>
      <x:c r="G17" s="29" t="str">
        <x:v>https://www.nature.com/articles/s41380-018-0256-5.pdf | https://www.ncbi.nlm.nih.gov/pmc/articles/8329695</x:v>
      </x:c>
      <x:c r="H17" s="29" t="str">
        <x:v>manual_main_article_not_correction</x:v>
      </x:c>
      <x:c r="I17" s="29" t="str">
        <x:v>Acquire the requested main article; do not accept its correction, corrigendum, or erratum as a substitute.</x:v>
      </x:c>
      <x:c r="J17" s="30" t="str">
        <x:v>https://doi.org/10.1038/s41380-018-0256-5</x:v>
      </x:c>
    </x:row>
    <x:row r="18" ht="132" hidden="0" customHeight="1">
      <x:c r="A18" s="28" t="str">
        <x:v>10.1038/s41591-022-01744-z</x:v>
      </x:c>
      <x:c r="B18" s="29" t="str">
        <x:v>Increased global integration in the brain after psilocybin therapy for depression</x:v>
      </x:c>
      <x:c r="C18" s="29" t="str">
        <x:v>primary</x:v>
      </x:c>
      <x:c r="D18" s="29" t="n">
        <x:v>0</x:v>
      </x:c>
      <x:c r="E18" s="29" t="str">
        <x:v>P1_existing_kg_or_curated_signal</x:v>
      </x:c>
      <x:c r="F18" s="29" t="str">
        <x:v>public_source_discovery</x:v>
      </x:c>
      <x:c r="G18" s="29" t="str"/>
      <x:c r="H18" s="29" t="str">
        <x:v>manual_identity_mismatch</x:v>
      </x:c>
      <x:c r="I18" s="29" t="str">
        <x:v>Acquire a replacement because the quarantined artifact belongs to a different document.</x:v>
      </x:c>
      <x:c r="J18" s="30" t="str">
        <x:v>https://doi.org/10.1038/s41591-022-01744-z</x:v>
      </x:c>
    </x:row>
    <x:row r="19" ht="580.7999877929688" hidden="0" customHeight="1">
      <x:c r="A19" s="28" t="str">
        <x:v>10.1192/j.eurpsy.2024.1806</x:v>
      </x:c>
      <x:c r="B19" s="29" t="str">
        <x:v>Use of psychedelic treatments in psychiatric clinical practice: an EPA policy paper.</x:v>
      </x:c>
      <x:c r="C19" s="29" t="str">
        <x:v>guideline</x:v>
      </x:c>
      <x:c r="D19" s="29" t="n">
        <x:v>0</x:v>
      </x:c>
      <x:c r="E19" s="29" t="str">
        <x:v>P1_existing_kg_or_curated_signal</x:v>
      </x:c>
      <x:c r="F19" s="29" t="str">
        <x:v>automated_url_validation</x:v>
      </x:c>
      <x:c r="G19" s="29" t="str">
        <x:v>https://europepmc.org/api/getPdf?pmcid=PMC11795445 | https://pmc.ncbi.nlm.nih.gov/articles/PMC11795445/pdf/S0924933824018066a.pdf | https://www.cambridge.org/core/services/aop-cambridge-core/content/view/340B7D729CF69904BB989B24FA0D60F7/S0924933824018066a.pdf/div-class-title-use-of-psychedelic-treatments-in-psychiatric-clinical-practice-an-epa-policy-paper-div.pdf | https://doi.org/10.1192/j.eurpsy.2024.1806</x:v>
      </x:c>
      <x:c r="H19" s="29" t="str">
        <x:v>manual_exact_item_from_proceedings</x:v>
      </x:c>
      <x:c r="I19" s="29" t="str">
        <x:v>Retain the search record, but acquire an item-specific PDF/JATS record or slice the exact DOI/title item from the proceedings container.</x:v>
      </x:c>
      <x:c r="J19" s="30" t="str">
        <x:v>https://doi.org/10.1192/j.eurpsy.2024.1806</x:v>
      </x:c>
    </x:row>
    <x:row r="20" ht="184.8000030517578" hidden="0" customHeight="1">
      <x:c r="A20" s="28" t="str">
        <x:v>10.17992/lbl.2022.09.706</x:v>
      </x:c>
      <x:c r="B20" s="29" t="str">
        <x:v>The use of psilocybin for treatment-resistant depression</x:v>
      </x:c>
      <x:c r="C20" s="29" t="str">
        <x:v>review</x:v>
      </x:c>
      <x:c r="D20" s="29" t="n">
        <x:v>0</x:v>
      </x:c>
      <x:c r="E20" s="29" t="str">
        <x:v>P1_existing_kg_or_curated_signal</x:v>
      </x:c>
      <x:c r="F20" s="29" t="str">
        <x:v>public_source_discovery</x:v>
      </x:c>
      <x:c r="G20" s="29" t="str"/>
      <x:c r="H20" s="29" t="str">
        <x:v>manual_identity_unverified</x:v>
      </x:c>
      <x:c r="I20" s="29" t="str">
        <x:v>Acquire an independently verifiable source because the prior artifact lacked sufficient document-level identity evidence.</x:v>
      </x:c>
      <x:c r="J20" s="30" t="str">
        <x:v>https://doi.org/10.17992/lbl.2022.09.706</x:v>
      </x:c>
    </x:row>
    <x:row r="21" ht="184.8000030517578" hidden="0" customHeight="1">
      <x:c r="A21" s="28" t="str">
        <x:v>10.1007/s11916-025-01437-5</x:v>
      </x:c>
      <x:c r="B21" s="29" t="str">
        <x:v>Efficacy of Ketamine Infusion for Treatment of Opioid Use Disorder in Patients with Chronic Pain: a Narrative Review</x:v>
      </x:c>
      <x:c r="C21" s="29" t="str">
        <x:v>narrative_review</x:v>
      </x:c>
      <x:c r="D21" s="29" t="n">
        <x:v>0</x:v>
      </x:c>
      <x:c r="E21" s="29" t="str">
        <x:v>P1_existing_kg_or_curated_signal</x:v>
      </x:c>
      <x:c r="F21" s="29" t="str">
        <x:v>public_source_discovery</x:v>
      </x:c>
      <x:c r="G21" s="29" t="str"/>
      <x:c r="H21" s="29" t="str">
        <x:v>manual_identity_mismatch</x:v>
      </x:c>
      <x:c r="I21" s="29" t="str">
        <x:v>Acquire a replacement because the quarantined artifact belongs to a different document.</x:v>
      </x:c>
      <x:c r="J21" s="30" t="str">
        <x:v>https://doi.org/10.1007/s11916-025-01437-5</x:v>
      </x:c>
    </x:row>
    <x:row r="22" ht="184.8000030517578" hidden="0" customHeight="1">
      <x:c r="A22" s="28" t="str">
        <x:v>10.1016/j.jpain.2016.01.394</x:v>
      </x:c>
      <x:c r="B22" s="29" t="str">
        <x:v>(417) Oral ketamine for chronic pain: a 32-subject placebo-controlled trial in patients on chronic opioids.</x:v>
      </x:c>
      <x:c r="C22" s="29" t="str">
        <x:v>primary</x:v>
      </x:c>
      <x:c r="D22" s="29" t="n">
        <x:v>0</x:v>
      </x:c>
      <x:c r="E22" s="29" t="str">
        <x:v>P1_existing_kg_or_curated_signal</x:v>
      </x:c>
      <x:c r="F22" s="29" t="str">
        <x:v>public_source_discovery</x:v>
      </x:c>
      <x:c r="G22" s="29" t="str"/>
      <x:c r="H22" s="29" t="str">
        <x:v>manual_identity_unverified</x:v>
      </x:c>
      <x:c r="I22" s="29" t="str">
        <x:v>Acquire an independently verifiable source because the prior artifact lacked sufficient document-level identity evidence.</x:v>
      </x:c>
      <x:c r="J22" s="30" t="str">
        <x:v>https://doi.org/10.1016/j.jpain.2016.01.394</x:v>
      </x:c>
    </x:row>
    <x:row r="23" ht="184.8000030517578" hidden="0" customHeight="1">
      <x:c r="A23" s="28" t="str">
        <x:v>10.1007/s002130050856</x:v>
      </x:c>
      <x:c r="B23" s="29" t="str">
        <x:v>Differential effects of ketamine on gating of auditory evoked potentials and prepulse inhibition in rats</x:v>
      </x:c>
      <x:c r="C23" s="29" t="str">
        <x:v>primary</x:v>
      </x:c>
      <x:c r="D23" s="29" t="n">
        <x:v>0</x:v>
      </x:c>
      <x:c r="E23" s="29" t="str">
        <x:v>P2_retained_candidate</x:v>
      </x:c>
      <x:c r="F23" s="29" t="str">
        <x:v>public_source_discovery</x:v>
      </x:c>
      <x:c r="G23" s="29" t="str"/>
      <x:c r="H23" s="29" t="str">
        <x:v>manual_replace_wrong_or_ancillary_document</x:v>
      </x:c>
      <x:c r="I23" s="29" t="str">
        <x:v>Acquire the main requested record and reject supplements, checklists, manuals, review forms, or unrelated documents.</x:v>
      </x:c>
      <x:c r="J23" s="30" t="str">
        <x:v>https://doi.org/10.1007/s002130050856</x:v>
      </x:c>
    </x:row>
    <x:row r="24" ht="171.60000610351562" hidden="0" customHeight="1">
      <x:c r="A24" s="28" t="str">
        <x:v>10.1016/j.cub.2012.02.033</x:v>
      </x:c>
      <x:c r="B24" s="29" t="str">
        <x:v>Neuroimaging: A Scanner, Colourfully</x:v>
      </x:c>
      <x:c r="C24" s="29" t="str">
        <x:v>review</x:v>
      </x:c>
      <x:c r="D24" s="29" t="n">
        <x:v>0</x:v>
      </x:c>
      <x:c r="E24" s="29" t="str">
        <x:v>P2_retained_candidate</x:v>
      </x:c>
      <x:c r="F24" s="29" t="str">
        <x:v>automated_url_validation</x:v>
      </x:c>
      <x:c r="G24" s="29" t="str">
        <x:v>http://www.cell.com/article/S0960982212001844/pdf</x:v>
      </x:c>
      <x:c r="H24" s="29" t="str">
        <x:v>manual_exact_nested_repository_item</x:v>
      </x:c>
      <x:c r="I24" s="29" t="str">
        <x:v>Acquire the DOI-bearing paper or chapter itself, not a repository wrapper, thesis, or neighboring nested document.</x:v>
      </x:c>
      <x:c r="J24" s="30" t="str">
        <x:v>https://doi.org/10.1016/j.cub.2012.02.033</x:v>
      </x:c>
    </x:row>
    <x:row r="25" ht="250.8000030517578" hidden="0" customHeight="1">
      <x:c r="A25" s="28" t="str">
        <x:v>10.1016/j.drugpo.2014.07.004</x:v>
      </x:c>
      <x:c r="B25" s="29" t="str">
        <x:v>Self-reported prevalence of dependence of MDMA compared to cocaine, mephedrone and ketamine among a sample of recreational poly-drug users</x:v>
      </x:c>
      <x:c r="C25" s="29" t="str">
        <x:v>primary</x:v>
      </x:c>
      <x:c r="D25" s="29" t="n">
        <x:v>0</x:v>
      </x:c>
      <x:c r="E25" s="29" t="str">
        <x:v>P2_retained_candidate</x:v>
      </x:c>
      <x:c r="F25" s="29" t="str">
        <x:v>public_source_discovery</x:v>
      </x:c>
      <x:c r="G25" s="29" t="str"/>
      <x:c r="H25" s="29" t="str">
        <x:v>manual_replace_wrong_or_ancillary_document</x:v>
      </x:c>
      <x:c r="I25" s="29" t="str">
        <x:v>Acquire the main requested record and reject supplements, checklists, manuals, review forms, or unrelated documents.</x:v>
      </x:c>
      <x:c r="J25" s="30" t="str">
        <x:v>https://doi.org/10.1016/j.drugpo.2014.07.004</x:v>
      </x:c>
    </x:row>
    <x:row r="26" ht="211.1999969482422" hidden="0" customHeight="1">
      <x:c r="A26" s="28" t="str">
        <x:v>10.1016/j.forsciint.2005.04.019</x:v>
      </x:c>
      <x:c r="B26" s="29" t="str">
        <x:v>Validation of an ELISA-based screening assay for the detection of amphetamine, MDMA and MDA in blood and oral fluid</x:v>
      </x:c>
      <x:c r="C26" s="29" t="str">
        <x:v>primary</x:v>
      </x:c>
      <x:c r="D26" s="29" t="n">
        <x:v>0</x:v>
      </x:c>
      <x:c r="E26" s="29" t="str">
        <x:v>P2_retained_candidate</x:v>
      </x:c>
      <x:c r="F26" s="29" t="str">
        <x:v>public_source_discovery</x:v>
      </x:c>
      <x:c r="G26" s="29" t="str"/>
      <x:c r="H26" s="29" t="str">
        <x:v>manual_replace_wrong_or_ancillary_document</x:v>
      </x:c>
      <x:c r="I26" s="29" t="str">
        <x:v>Acquire the main requested record and reject supplements, checklists, manuals, review forms, or unrelated documents.</x:v>
      </x:c>
      <x:c r="J26" s="30" t="str">
        <x:v>https://doi.org/10.1016/j.forsciint.2005.04.019</x:v>
      </x:c>
    </x:row>
    <x:row r="27" ht="184.8000030517578" hidden="0" customHeight="1">
      <x:c r="A27" s="28" t="str">
        <x:v>10.1016/s0893-133x(99)00006-8</x:v>
      </x:c>
      <x:c r="B27" s="29" t="str">
        <x:v>Excitatory Actions of NMDA Receptor Antagonists in Rat Entorhinal Cortex and Cultured Entorhinal Cortical Neurons</x:v>
      </x:c>
      <x:c r="C27" s="29" t="str">
        <x:v>primary</x:v>
      </x:c>
      <x:c r="D27" s="29" t="n">
        <x:v>0</x:v>
      </x:c>
      <x:c r="E27" s="29" t="str">
        <x:v>P2_retained_candidate</x:v>
      </x:c>
      <x:c r="F27" s="29" t="str">
        <x:v>public_source_discovery</x:v>
      </x:c>
      <x:c r="G27" s="29" t="str"/>
      <x:c r="H27" s="29" t="str">
        <x:v>manual_replace_wrong_or_ancillary_document</x:v>
      </x:c>
      <x:c r="I27" s="29" t="str">
        <x:v>Acquire the main requested record and reject supplements, checklists, manuals, review forms, or unrelated documents.</x:v>
      </x:c>
      <x:c r="J27" s="30" t="str">
        <x:v>https://doi.org/10.1016/s0893-133x(99)00006-8</x:v>
      </x:c>
    </x:row>
    <x:row r="28" ht="145.1999969482422" hidden="0" customHeight="1">
      <x:c r="A28" s="28" t="str">
        <x:v>10.1038/s41386-026-02450-x</x:v>
      </x:c>
      <x:c r="B28" s="29" t="str">
        <x:v>Psilocybin modulates social behaviour in male and female mice in a time-dependent manner</x:v>
      </x:c>
      <x:c r="C28" s="29" t="str">
        <x:v>primary</x:v>
      </x:c>
      <x:c r="D28" s="29" t="n">
        <x:v>0</x:v>
      </x:c>
      <x:c r="E28" s="29" t="str">
        <x:v>P2_retained_candidate</x:v>
      </x:c>
      <x:c r="F28" s="29" t="str">
        <x:v>public_source_discovery</x:v>
      </x:c>
      <x:c r="G28" s="29" t="str"/>
      <x:c r="H28" s="29" t="str">
        <x:v>manual_identity_mismatch</x:v>
      </x:c>
      <x:c r="I28" s="29" t="str">
        <x:v>Acquire a replacement because the quarantined artifact belongs to a different document.</x:v>
      </x:c>
      <x:c r="J28" s="30" t="str">
        <x:v>https://doi.org/10.1038/s41386-026-02450-x</x:v>
      </x:c>
    </x:row>
    <x:row r="29" ht="211.1999969482422" hidden="0" customHeight="1">
      <x:c r="A29" s="28" t="str">
        <x:v>10.1093/schbul/13.4.643</x:v>
      </x:c>
      <x:c r="B29" s="29" t="str">
        <x:v>Startle Habituation and Sensorimotor Gating in Schizophrenia and Related Animal Models</x:v>
      </x:c>
      <x:c r="C29" s="29" t="str">
        <x:v>review</x:v>
      </x:c>
      <x:c r="D29" s="29" t="n">
        <x:v>0</x:v>
      </x:c>
      <x:c r="E29" s="29" t="str">
        <x:v>P2_retained_candidate</x:v>
      </x:c>
      <x:c r="F29" s="29" t="str">
        <x:v>automated_url_validation</x:v>
      </x:c>
      <x:c r="G29" s="29" t="str">
        <x:v>https://academic.oup.com/schizophreniabulletin/article-pdf/13/4/643/5262315/13-4-643.pdf | https://doi.org/10.1093/schbul/13.4.643</x:v>
      </x:c>
      <x:c r="H29" s="29" t="str">
        <x:v>manual_exact_item_from_proceedings</x:v>
      </x:c>
      <x:c r="I29" s="29" t="str">
        <x:v>Retain the search record, but acquire an item-specific PDF/JATS record or slice the exact DOI/title item from the proceedings container.</x:v>
      </x:c>
      <x:c r="J29" s="30" t="str">
        <x:v>https://doi.org/10.1093/schbul/13.4.643</x:v>
      </x:c>
    </x:row>
    <x:row r="30" ht="211.1999969482422" hidden="0" customHeight="1">
      <x:c r="A30" s="28" t="str">
        <x:v>10.1093/schbul/16.1.31</x:v>
      </x:c>
      <x:c r="B30" s="29" t="str">
        <x:v>Prevalence of Substance Abuse in Schizophrenia: Demographic and Clinical Correlates</x:v>
      </x:c>
      <x:c r="C30" s="29" t="str">
        <x:v>primary</x:v>
      </x:c>
      <x:c r="D30" s="29" t="n">
        <x:v>0</x:v>
      </x:c>
      <x:c r="E30" s="29" t="str">
        <x:v>P2_retained_candidate</x:v>
      </x:c>
      <x:c r="F30" s="29" t="str">
        <x:v>automated_url_validation</x:v>
      </x:c>
      <x:c r="G30" s="29" t="str">
        <x:v>https://academic.oup.com/schizophreniabulletin/article-pdf/16/1/31/5308133/16-1-31.pdf | https://doi.org/10.1093/schbul/16.1.31</x:v>
      </x:c>
      <x:c r="H30" s="29" t="str">
        <x:v>manual_exact_item_from_proceedings</x:v>
      </x:c>
      <x:c r="I30" s="29" t="str">
        <x:v>Retain the search record, but acquire an item-specific PDF/JATS record or slice the exact DOI/title item from the proceedings container.</x:v>
      </x:c>
      <x:c r="J30" s="30" t="str">
        <x:v>https://doi.org/10.1093/schbul/16.1.31</x:v>
      </x:c>
    </x:row>
    <x:row r="31" ht="211.1999969482422" hidden="0" customHeight="1">
      <x:c r="A31" s="28" t="str">
        <x:v>10.1093/schbul/9.1.73</x:v>
      </x:c>
      <x:c r="B31" s="29" t="str">
        <x:v>Dreams, Hallucinogenic Drug States, and Schizophrenia: A Psychological and Biological Comparison</x:v>
      </x:c>
      <x:c r="C31" s="29" t="str">
        <x:v>review</x:v>
      </x:c>
      <x:c r="D31" s="29" t="n">
        <x:v>0</x:v>
      </x:c>
      <x:c r="E31" s="29" t="str">
        <x:v>P2_retained_candidate</x:v>
      </x:c>
      <x:c r="F31" s="29" t="str">
        <x:v>automated_url_validation</x:v>
      </x:c>
      <x:c r="G31" s="29" t="str">
        <x:v>https://academic.oup.com/schizophreniabulletin/article-pdf/9/1/73/5294429/9-1-73.pdf | https://doi.org/10.1093/schbul/9.1.73</x:v>
      </x:c>
      <x:c r="H31" s="29" t="str">
        <x:v>manual_exact_item_from_proceedings</x:v>
      </x:c>
      <x:c r="I31" s="29" t="str">
        <x:v>Retain the search record, but acquire an item-specific PDF/JATS record or slice the exact DOI/title item from the proceedings container.</x:v>
      </x:c>
      <x:c r="J31" s="30" t="str">
        <x:v>https://doi.org/10.1093/schbul/9.1.73</x:v>
      </x:c>
    </x:row>
    <x:row r="32" ht="290.3999938964844" hidden="0" customHeight="1">
      <x:c r="A32" s="28" t="str">
        <x:v>10.1111/bph.12692</x:v>
      </x:c>
      <x:c r="B32" s="29" t="str">
        <x:v>Pharmacology and anti‐addiction effects of the novel κ opioid receptor agonist&lt;scp&gt;M&lt;/scp&gt;esyl&lt;scp&gt;S&lt;/scp&gt;al&lt;scp&gt;B&lt;/scp&gt;, a potent and long‐acting analogue of salvinorin&lt;scp&gt;A&lt;/scp&gt;</x:v>
      </x:c>
      <x:c r="C32" s="29" t="str">
        <x:v>primary</x:v>
      </x:c>
      <x:c r="D32" s="29" t="n">
        <x:v>0</x:v>
      </x:c>
      <x:c r="E32" s="29" t="str">
        <x:v>P2_retained_candidate</x:v>
      </x:c>
      <x:c r="F32" s="29" t="str">
        <x:v>public_source_discovery</x:v>
      </x:c>
      <x:c r="G32" s="29" t="str"/>
      <x:c r="H32" s="29" t="str">
        <x:v>manual_identity_mismatch</x:v>
      </x:c>
      <x:c r="I32" s="29" t="str">
        <x:v>Acquire a replacement because the quarantined artifact belongs to a different document.</x:v>
      </x:c>
      <x:c r="J32" s="30" t="str">
        <x:v>https://doi.org/10.1111/bph.12692</x:v>
      </x:c>
    </x:row>
    <x:row r="33" ht="171.60000610351562" hidden="0" customHeight="1">
      <x:c r="A33" s="28" t="str">
        <x:v>10.1111/bph.15596</x:v>
      </x:c>
      <x:c r="B33" s="29" t="str">
        <x:v>Perspectives for therapy of treatment‐resistant depression</x:v>
      </x:c>
      <x:c r="C33" s="29" t="str">
        <x:v>review</x:v>
      </x:c>
      <x:c r="D33" s="29" t="n">
        <x:v>0</x:v>
      </x:c>
      <x:c r="E33" s="29" t="str">
        <x:v>P2_retained_candidate</x:v>
      </x:c>
      <x:c r="F33" s="29" t="str">
        <x:v>automated_url_validation</x:v>
      </x:c>
      <x:c r="G33" s="29" t="str">
        <x:v>https://onlinelibrary.wiley.com/doi/pdfdirect/10.1111/bph.15596</x:v>
      </x:c>
      <x:c r="H33" s="29" t="str">
        <x:v>manual_exact_nested_repository_item</x:v>
      </x:c>
      <x:c r="I33" s="29" t="str">
        <x:v>Acquire the DOI-bearing paper or chapter itself, not a repository wrapper, thesis, or neighboring nested document.</x:v>
      </x:c>
      <x:c r="J33" s="30" t="str">
        <x:v>https://doi.org/10.1111/bph.15596</x:v>
      </x:c>
    </x:row>
    <x:row r="34" ht="184.8000030517578" hidden="0" customHeight="1">
      <x:c r="A34" s="28" t="str">
        <x:v>10.1111/pcn.13572</x:v>
      </x:c>
      <x:c r="B34" s="29" t="str">
        <x:v>Insights into the neurobiology of suicidality: explicating the role of glutamatergic systems through the lens of ketamine</x:v>
      </x:c>
      <x:c r="C34" s="29" t="str">
        <x:v>review</x:v>
      </x:c>
      <x:c r="D34" s="29" t="n">
        <x:v>0</x:v>
      </x:c>
      <x:c r="E34" s="29" t="str">
        <x:v>P2_retained_candidate</x:v>
      </x:c>
      <x:c r="F34" s="29" t="str">
        <x:v>public_source_discovery</x:v>
      </x:c>
      <x:c r="G34" s="29" t="str"/>
      <x:c r="H34" s="29" t="str">
        <x:v>manual_conflicting_doi_needs_resolution</x:v>
      </x:c>
      <x:c r="I34" s="29" t="str">
        <x:v>Confirm a registered version/alias relationship or acquire the exact requested DOI; do not accept a merely similar title.</x:v>
      </x:c>
      <x:c r="J34" s="30" t="str">
        <x:v>https://doi.org/10.1111/pcn.13572</x:v>
      </x:c>
    </x:row>
    <x:row r="35" ht="158.39999389648438" hidden="0" customHeight="1">
      <x:c r="A35" s="28" t="str">
        <x:v>10.11606/issn.1806-6976.smad.2022.183132</x:v>
      </x:c>
      <x:c r="B35" s="29" t="str">
        <x:v>O uso de agentes psicodélicos no tratamento da dependência de álcool e tabaco: revisão integrativa</x:v>
      </x:c>
      <x:c r="C35" s="29" t="str">
        <x:v>review</x:v>
      </x:c>
      <x:c r="D35" s="29" t="n">
        <x:v>0</x:v>
      </x:c>
      <x:c r="E35" s="29" t="str">
        <x:v>P2_retained_candidate</x:v>
      </x:c>
      <x:c r="F35" s="29" t="str">
        <x:v>public_source_discovery</x:v>
      </x:c>
      <x:c r="G35" s="29" t="str"/>
      <x:c r="H35" s="29" t="str">
        <x:v>manual_resolve_ambiguous_document_identity</x:v>
      </x:c>
      <x:c r="I35" s="29" t="str">
        <x:v>Resolve the DOI/version relationship manually before accepting any replacement.</x:v>
      </x:c>
      <x:c r="J35" s="30" t="str">
        <x:v>https://doi.org/10.11606/issn.1806-6976.smad.2022.183132</x:v>
      </x:c>
    </x:row>
    <x:row r="36" ht="184.8000030517578" hidden="0" customHeight="1">
      <x:c r="A36" s="28" t="str">
        <x:v>10.1177/2045125314559539</x:v>
      </x:c>
      <x:c r="B36" s="29" t="str">
        <x:v>Legal highs: staying on top of the flood of novel psychoactive substances</x:v>
      </x:c>
      <x:c r="C36" s="29" t="str">
        <x:v>narrative_review</x:v>
      </x:c>
      <x:c r="D36" s="29" t="n">
        <x:v>0</x:v>
      </x:c>
      <x:c r="E36" s="29" t="str">
        <x:v>P2_retained_candidate</x:v>
      </x:c>
      <x:c r="F36" s="29" t="str">
        <x:v>public_source_discovery</x:v>
      </x:c>
      <x:c r="G36" s="29" t="str"/>
      <x:c r="H36" s="29" t="str">
        <x:v>manual_conflicting_doi_needs_resolution</x:v>
      </x:c>
      <x:c r="I36" s="29" t="str">
        <x:v>Confirm a registered version/alias relationship or acquire the exact requested DOI; do not accept a merely similar title.</x:v>
      </x:c>
      <x:c r="J36" s="30" t="str">
        <x:v>https://doi.org/10.1177/2045125314559539</x:v>
      </x:c>
    </x:row>
    <x:row r="37" ht="132" hidden="0" customHeight="1">
      <x:c r="A37" s="28" t="str">
        <x:v>10.1186/s42358-024-00393-9</x:v>
      </x:c>
      <x:c r="B37" s="29" t="str">
        <x:v>Ketamine in fibromyalgia: a systematic review</x:v>
      </x:c>
      <x:c r="C37" s="29" t="str">
        <x:v>systematic_review</x:v>
      </x:c>
      <x:c r="D37" s="29" t="n">
        <x:v>0</x:v>
      </x:c>
      <x:c r="E37" s="29" t="str">
        <x:v>P2_retained_candidate</x:v>
      </x:c>
      <x:c r="F37" s="29" t="str">
        <x:v>public_source_discovery</x:v>
      </x:c>
      <x:c r="G37" s="29" t="str"/>
      <x:c r="H37" s="29" t="str">
        <x:v>manual_identity_mismatch</x:v>
      </x:c>
      <x:c r="I37" s="29" t="str">
        <x:v>Acquire a replacement because the quarantined artifact belongs to a different document.</x:v>
      </x:c>
      <x:c r="J37" s="30" t="str">
        <x:v>https://doi.org/10.1186/s42358-024-00393-9</x:v>
      </x:c>
    </x:row>
    <x:row r="38" ht="752.4000244140625" hidden="0" customHeight="1">
      <x:c r="A38" s="28" t="str">
        <x:v>10.1192/j.eurpsy.2024.8</x:v>
      </x:c>
      <x:c r="B38" s="29" t="str">
        <x:v>Effects of psychedelic microdosing versus conventional ADHD medication use on emotion regulation, empathy, and ADHD symptoms in adults with severe ADHD symptoms: A naturalistic prospective comparison study</x:v>
      </x:c>
      <x:c r="C38" s="29" t="str">
        <x:v>primary</x:v>
      </x:c>
      <x:c r="D38" s="29" t="n">
        <x:v>0</x:v>
      </x:c>
      <x:c r="E38" s="29" t="str">
        <x:v>P2_retained_candidate</x:v>
      </x:c>
      <x:c r="F38" s="29" t="str">
        <x:v>automated_url_validation</x:v>
      </x:c>
      <x:c r="G38" s="29" t="str">
        <x:v>https://europepmc.org/api/getPdf?pmcid=PMC10966614 | https://pmc.ncbi.nlm.nih.gov/articles/PMC10966614/pdf/S0924933824000087a.pdf | https://www.cambridge.org/core/services/aop-cambridge-core/content/view/9DEB8EA5350F5D642F7C88CAAE543889/S0924933824000087a.pdf/div-class-title-effects-of-psychedelic-microdosing-versus-conventional-adhd-medication-use-on-emotion-regulation-empathy-and-adhd-symptoms-in-adults-with-severe-adhd-symptoms-a-naturalistic-prospective-comparison-study-div.pdf | https://doi.org/10.1192/j.eurpsy.2024.8</x:v>
      </x:c>
      <x:c r="H38" s="29" t="str">
        <x:v>manual_exact_item_from_proceedings</x:v>
      </x:c>
      <x:c r="I38" s="29" t="str">
        <x:v>Retain the search record, but acquire an item-specific PDF/JATS record or slice the exact DOI/title item from the proceedings container.</x:v>
      </x:c>
      <x:c r="J38" s="30" t="str">
        <x:v>https://doi.org/10.1192/j.eurpsy.2024.8</x:v>
      </x:c>
    </x:row>
    <x:row r="39" ht="488.3999938964844" hidden="0" customHeight="1">
      <x:c r="A39" s="28" t="str">
        <x:v>10.1192/j.eurpsy.2026.10157</x:v>
      </x:c>
      <x:c r="B39" s="29" t="str">
        <x:v>Is the antidepressant efficacy of ketamine and esketamine mediated via opioid mechanisms?</x:v>
      </x:c>
      <x:c r="C39" s="29" t="str">
        <x:v>systematic_review</x:v>
      </x:c>
      <x:c r="D39" s="29" t="n">
        <x:v>0</x:v>
      </x:c>
      <x:c r="E39" s="29" t="str">
        <x:v>P2_retained_candidate</x:v>
      </x:c>
      <x:c r="F39" s="29" t="str">
        <x:v>automated_url_validation</x:v>
      </x:c>
      <x:c r="G39" s="29" t="str">
        <x:v>https://europepmc.org/api/getPdf?pmcid=PMC12925689 | https://www.cambridge.org/core/services/aop-cambridge-core/content/view/BACB1E516D8391D36C306906F4749C31/S0924933826101576a.pdf/div-class-title-is-the-antidepressant-efficacy-of-ketamine-and-esketamine-mediated-via-opioid-mechanisms-div.pdf | https://doi.org/10.1192/j.eurpsy.2026.10157</x:v>
      </x:c>
      <x:c r="H39" s="29" t="str">
        <x:v>manual_exact_item_from_proceedings</x:v>
      </x:c>
      <x:c r="I39" s="29" t="str">
        <x:v>Retain the search record, but acquire an item-specific PDF/JATS record or slice the exact DOI/title item from the proceedings container.</x:v>
      </x:c>
      <x:c r="J39" s="30" t="str">
        <x:v>https://doi.org/10.1192/j.eurpsy.2026.10157</x:v>
      </x:c>
    </x:row>
    <x:row r="40" ht="488.3999938964844" hidden="0" customHeight="1">
      <x:c r="A40" s="28" t="str">
        <x:v>10.1192/j.eurpsy.2026.10164</x:v>
      </x:c>
      <x:c r="B40" s="29" t="str">
        <x:v>Network localization of brain functional effects of ketamine treatment for major depression.</x:v>
      </x:c>
      <x:c r="C40" s="29" t="str">
        <x:v>primary</x:v>
      </x:c>
      <x:c r="D40" s="29" t="n">
        <x:v>0</x:v>
      </x:c>
      <x:c r="E40" s="29" t="str">
        <x:v>P2_retained_candidate</x:v>
      </x:c>
      <x:c r="F40" s="29" t="str">
        <x:v>automated_url_validation</x:v>
      </x:c>
      <x:c r="G40" s="29" t="str">
        <x:v>https://europepmc.org/api/getPdf?pmcid=PMC12978991 | https://www.cambridge.org/core/services/aop-cambridge-core/content/view/9BB7E7845703988BB755556DD54A13E0/S0924933826101643a.pdf/div-class-title-network-localization-of-brain-functional-effects-of-ketamine-treatment-for-major-depression-div.pdf | https://doi.org/10.1192/j.eurpsy.2026.10164</x:v>
      </x:c>
      <x:c r="H40" s="29" t="str">
        <x:v>manual_exact_item_from_proceedings</x:v>
      </x:c>
      <x:c r="I40" s="29" t="str">
        <x:v>Retain the search record, but acquire an item-specific PDF/JATS record or slice the exact DOI/title item from the proceedings container.</x:v>
      </x:c>
      <x:c r="J40" s="30" t="str">
        <x:v>https://doi.org/10.1192/j.eurpsy.2026.10164</x:v>
      </x:c>
    </x:row>
    <x:row r="41" ht="237.60000610351562" hidden="0" customHeight="1">
      <x:c r="A41" s="28" t="str">
        <x:v>10.17992/lbl.2023.11.766</x:v>
      </x:c>
      <x:c r="B41" s="29" t="str">
        <x:v>Psychedelics and treatment of mental disorders: A survey of attitudes and knowledge among psychiatrists, general practitioners and psychologists in Iceland</x:v>
      </x:c>
      <x:c r="C41" s="29" t="str">
        <x:v>primary</x:v>
      </x:c>
      <x:c r="D41" s="29" t="n">
        <x:v>0</x:v>
      </x:c>
      <x:c r="E41" s="29" t="str">
        <x:v>P2_retained_candidate</x:v>
      </x:c>
      <x:c r="F41" s="29" t="str">
        <x:v>public_source_discovery</x:v>
      </x:c>
      <x:c r="G41" s="29" t="str"/>
      <x:c r="H41" s="29" t="str">
        <x:v>manual_identity_unverified</x:v>
      </x:c>
      <x:c r="I41" s="29" t="str">
        <x:v>Acquire an independently verifiable source because the prior artifact lacked sufficient document-level identity evidence.</x:v>
      </x:c>
      <x:c r="J41" s="30" t="str">
        <x:v>https://doi.org/10.17992/lbl.2023.11.766</x:v>
      </x:c>
    </x:row>
    <x:row r="42" ht="184.8000030517578" hidden="0" customHeight="1">
      <x:c r="A42" s="28" t="str">
        <x:v>10.22374/jmhan.v4i1.40</x:v>
      </x:c>
      <x:c r="B42" s="29" t="str">
        <x:v>Emerging Psychedelic-Assisted Therapies: Implications for Nursing Practice</x:v>
      </x:c>
      <x:c r="C42" s="29" t="str">
        <x:v>scoping_review</x:v>
      </x:c>
      <x:c r="D42" s="29" t="n">
        <x:v>0</x:v>
      </x:c>
      <x:c r="E42" s="29" t="str">
        <x:v>P2_retained_candidate</x:v>
      </x:c>
      <x:c r="F42" s="29" t="str">
        <x:v>public_source_discovery</x:v>
      </x:c>
      <x:c r="G42" s="29" t="str"/>
      <x:c r="H42" s="29" t="str">
        <x:v>manual_replace_wrong_or_ancillary_document</x:v>
      </x:c>
      <x:c r="I42" s="29" t="str">
        <x:v>Acquire the main requested record and reject supplements, checklists, manuals, review forms, or unrelated documents.</x:v>
      </x:c>
      <x:c r="J42" s="30" t="str">
        <x:v>https://doi.org/10.22374/jmhan.v4i1.40</x:v>
      </x:c>
    </x:row>
    <x:row r="43" ht="184.8000030517578" hidden="0" customHeight="1">
      <x:c r="A43" s="28" t="str">
        <x:v>10.3138/jmvfh-2023-0014</x:v>
      </x:c>
      <x:c r="B43" s="29" t="str">
        <x:v>Mechanisms of integration in psychedelic-assisted therapy</x:v>
      </x:c>
      <x:c r="C43" s="29" t="str">
        <x:v>review</x:v>
      </x:c>
      <x:c r="D43" s="29" t="n">
        <x:v>0</x:v>
      </x:c>
      <x:c r="E43" s="29" t="str">
        <x:v>P2_retained_candidate</x:v>
      </x:c>
      <x:c r="F43" s="29" t="str">
        <x:v>public_source_discovery</x:v>
      </x:c>
      <x:c r="G43" s="29" t="str"/>
      <x:c r="H43" s="29" t="str">
        <x:v>manual_replace_wrong_or_ancillary_document</x:v>
      </x:c>
      <x:c r="I43" s="29" t="str">
        <x:v>Acquire the main requested record and reject supplements, checklists, manuals, review forms, or unrelated documents.</x:v>
      </x:c>
      <x:c r="J43" s="30" t="str">
        <x:v>https://doi.org/10.3138/jmvfh-2023-0014</x:v>
      </x:c>
    </x:row>
    <x:row r="44" ht="211.1999969482422" hidden="0" customHeight="1">
      <x:c r="A44" s="28" t="str">
        <x:v>10.31480/2330-4871/004</x:v>
      </x:c>
      <x:c r="B44" s="29" t="str">
        <x:v>Salvinorin A: A Mini Review of Physical and Chemical Properties Affecting Its Translation from Research to Clinical Applications in Humans</x:v>
      </x:c>
      <x:c r="C44" s="29" t="str">
        <x:v>review</x:v>
      </x:c>
      <x:c r="D44" s="29" t="n">
        <x:v>0</x:v>
      </x:c>
      <x:c r="E44" s="29" t="str">
        <x:v>P2_retained_candidate</x:v>
      </x:c>
      <x:c r="F44" s="29" t="str">
        <x:v>public_source_discovery</x:v>
      </x:c>
      <x:c r="G44" s="29" t="str"/>
      <x:c r="H44" s="29" t="str">
        <x:v>manual_identity_unverified</x:v>
      </x:c>
      <x:c r="I44" s="29" t="str">
        <x:v>Acquire an independently verifiable source because the prior artifact lacked sufficient document-level identity evidence.</x:v>
      </x:c>
      <x:c r="J44" s="30" t="str">
        <x:v>https://doi.org/10.31480/2330-4871/004</x:v>
      </x:c>
    </x:row>
    <x:row r="45" ht="264" hidden="0" customHeight="1">
      <x:c r="A45" s="28" t="str">
        <x:v>10.3389/fpsyt.2018.00313</x:v>
      </x:c>
      <x:c r="B45" s="29" t="str">
        <x:v>Outcome Evaluation of a Short-Term Hospitalization and Community Support Program for People Who Abuse Ketamine</x:v>
      </x:c>
      <x:c r="C45" s="29" t="str">
        <x:v>primary</x:v>
      </x:c>
      <x:c r="D45" s="29" t="n">
        <x:v>0</x:v>
      </x:c>
      <x:c r="E45" s="29" t="str">
        <x:v>P2_retained_candidate</x:v>
      </x:c>
      <x:c r="F45" s="29" t="str">
        <x:v>automated_url_validation</x:v>
      </x:c>
      <x:c r="G45" s="29" t="str">
        <x:v>http://bura.brunel.ac.uk/bitstream/2438/27335/1/Corrigendum.pdf | http://bura.brunel.ac.uk/bitstream/2438/27338/1/FullText.pdf | https://www.frontiersin.org/articles/10.3389/fpsyt.2018.00313/pdf</x:v>
      </x:c>
      <x:c r="H45" s="29" t="str">
        <x:v>manual_main_article_not_correction</x:v>
      </x:c>
      <x:c r="I45" s="29" t="str">
        <x:v>Acquire the requested main article; do not accept its correction, corrigendum, or erratum as a substitute.</x:v>
      </x:c>
      <x:c r="J45" s="30" t="str">
        <x:v>https://doi.org/10.3389/fpsyt.2018.00313</x:v>
      </x:c>
    </x:row>
    <x:row r="46" ht="211.1999969482422" hidden="0" customHeight="1">
      <x:c r="A46" s="31" t="str">
        <x:v>10.51731/cjht.2021.90</x:v>
      </x:c>
      <x:c r="B46" s="32" t="str">
        <x:v>Psychedelic-Assisted Psychotherapy for Post-Traumatic Stress Disorder, Anxiety Disorders, Mood Disorders, or Substance Use Disorders</x:v>
      </x:c>
      <x:c r="C46" s="32" t="str">
        <x:v>review</x:v>
      </x:c>
      <x:c r="D46" s="32" t="n">
        <x:v>0</x:v>
      </x:c>
      <x:c r="E46" s="32" t="str">
        <x:v>P2_retained_candidate</x:v>
      </x:c>
      <x:c r="F46" s="32" t="str">
        <x:v>public_source_discovery</x:v>
      </x:c>
      <x:c r="G46" s="32" t="str"/>
      <x:c r="H46" s="32" t="str">
        <x:v>manual_identity_unverified</x:v>
      </x:c>
      <x:c r="I46" s="32" t="str">
        <x:v>Acquire an independently verifiable source because the prior artifact lacked sufficient document-level identity evidence.</x:v>
      </x:c>
      <x:c r="J46" s="33" t="str">
        <x:v>https://doi.org/10.51731/cjht.2021.90</x:v>
      </x:c>
    </x:row>
  </x:sheetData>
  <x:pageMargins left="0.7" right="0.7" top="0.75" bottom="0.75" header="0.3" footer="0.3"/>
  <x:tableParts count="1">
    <x:tablePart xmlns:r="http://schemas.openxmlformats.org/officeDocument/2006/relationships" r:id="R1dcb2869835c4d3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56" hidden="0" customWidth="1"/>
    <x:col min="3" max="3" width="20" hidden="0" customWidth="1"/>
    <x:col min="4" max="4" width="16" hidden="0" customWidth="1"/>
    <x:col min="5" max="5" width="38" hidden="0" customWidth="1"/>
    <x:col min="6" max="6" width="48" hidden="0" customWidth="1"/>
    <x:col min="7" max="7" width="45" hidden="0" customWidth="1"/>
    <x:col min="8" max="8" width="48" hidden="0" customWidth="1"/>
  </x:cols>
  <x:sheetData>
    <x:row r="1" ht="30" customHeight="1">
      <x:c r="A1" s="43" t="str">
        <x:v>DOI</x:v>
      </x:c>
      <x:c r="B1" s="44" t="str">
        <x:v>Title</x:v>
      </x:c>
      <x:c r="C1" s="44" t="str">
        <x:v>Paper type</x:v>
      </x:c>
      <x:c r="D1" s="44" t="str">
        <x:v>Former KG findings</x:v>
      </x:c>
      <x:c r="E1" s="44" t="str">
        <x:v>Final action</x:v>
      </x:c>
      <x:c r="F1" s="44" t="str">
        <x:v>Why no repair</x:v>
      </x:c>
      <x:c r="G1" s="44" t="str">
        <x:v>Old artifact problem</x:v>
      </x:c>
      <x:c r="H1" s="45" t="str">
        <x:v>DOI URL</x:v>
      </x:c>
    </x:row>
    <x:row r="2" ht="132" hidden="0" customHeight="1">
      <x:c r="A2" s="25" t="str">
        <x:v>10.1001/jama.2023.6454</x:v>
      </x:c>
      <x:c r="B2" s="26" t="str">
        <x:v>Reducing Opioid Use for Chronic Pain With a Group-Based Intervention</x:v>
      </x:c>
      <x:c r="C2" s="26" t="str">
        <x:v>article</x:v>
      </x:c>
      <x:c r="D2" s="26" t="n">
        <x:v>0</x:v>
      </x:c>
      <x:c r="E2" s="26" t="str">
        <x:v>excluded_prescreen_no_artifact_repair</x:v>
      </x:c>
      <x:c r="F2" s="26" t="str">
        <x:v>canonical prescreen excludes this record</x:v>
      </x:c>
      <x:c r="G2" s="26" t="str">
        <x:v>identity_unverified</x:v>
      </x:c>
      <x:c r="H2" s="27" t="str">
        <x:v>https://doi.org/10.1001/jama.2023.6454</x:v>
      </x:c>
    </x:row>
    <x:row r="3" ht="79.19999694824219" hidden="0" customHeight="1">
      <x:c r="A3" s="28" t="str">
        <x:v>10.1007/7854_2020_167</x:v>
      </x:c>
      <x:c r="B3" s="29" t="str">
        <x:v>The Role of Opiates in Social Pain and Suicidal Behavior</x:v>
      </x:c>
      <x:c r="C3" s="29" t="str">
        <x:v>review</x:v>
      </x:c>
      <x:c r="D3" s="29" t="n">
        <x:v>0</x:v>
      </x:c>
      <x:c r="E3" s="29" t="str">
        <x:v>excluded_prescreen_no_artifact_repair</x:v>
      </x:c>
      <x:c r="F3" s="29" t="str">
        <x:v>canonical prescreen excludes this record</x:v>
      </x:c>
      <x:c r="G3" s="29" t="str">
        <x:v>identity_mismatch</x:v>
      </x:c>
      <x:c r="H3" s="30" t="str">
        <x:v>https://doi.org/10.1007/7854_2020_167</x:v>
      </x:c>
    </x:row>
    <x:row r="4" ht="158.39999389648438" hidden="0" customHeight="1">
      <x:c r="A4" s="28" t="str">
        <x:v>10.1007/7854_2020_202</x:v>
      </x:c>
      <x:c r="B4" s="29" t="str">
        <x:v>Innovations in the Delivery of Exposure and Response Prevention for Obsessive-Compulsive Disorder</x:v>
      </x:c>
      <x:c r="C4" s="29" t="str">
        <x:v>book-chapter</x:v>
      </x:c>
      <x:c r="D4" s="29" t="n">
        <x:v>0</x:v>
      </x:c>
      <x:c r="E4" s="29" t="str">
        <x:v>excluded_prescreen_no_artifact_repair</x:v>
      </x:c>
      <x:c r="F4" s="29" t="str">
        <x:v>canonical prescreen excludes this record</x:v>
      </x:c>
      <x:c r="G4" s="29" t="str">
        <x:v>identity_mismatch</x:v>
      </x:c>
      <x:c r="H4" s="30" t="str">
        <x:v>https://doi.org/10.1007/7854_2020_202</x:v>
      </x:c>
    </x:row>
    <x:row r="5" ht="79.19999694824219" hidden="0" customHeight="1">
      <x:c r="A5" s="28" t="str">
        <x:v>10.1007/7854_2021_266</x:v>
      </x:c>
      <x:c r="B5" s="29" t="str">
        <x:v>Foundations for Training Psychedelic Therapists</x:v>
      </x:c>
      <x:c r="C5" s="29" t="str">
        <x:v>article</x:v>
      </x:c>
      <x:c r="D5" s="29" t="n">
        <x:v>0</x:v>
      </x:c>
      <x:c r="E5" s="29" t="str">
        <x:v>excluded_prescreen_no_artifact_repair</x:v>
      </x:c>
      <x:c r="F5" s="29" t="str">
        <x:v>canonical prescreen excludes this record</x:v>
      </x:c>
      <x:c r="G5" s="29" t="str">
        <x:v>identity_mismatch</x:v>
      </x:c>
      <x:c r="H5" s="30" t="str">
        <x:v>https://doi.org/10.1007/7854_2021_266</x:v>
      </x:c>
    </x:row>
    <x:row r="6" ht="158.39999389648438" hidden="0" customHeight="1">
      <x:c r="A6" s="28" t="str">
        <x:v>10.1007/7854_2021_267</x:v>
      </x:c>
      <x:c r="B6" s="29" t="str">
        <x:v>Psychedelics as Novel Therapeutics in Alzheimer’s Disease: Rationale and Potential Mechanisms</x:v>
      </x:c>
      <x:c r="C6" s="29" t="str">
        <x:v>review</x:v>
      </x:c>
      <x:c r="D6" s="29" t="n">
        <x:v>0</x:v>
      </x:c>
      <x:c r="E6" s="29" t="str">
        <x:v>excluded_prescreen_no_artifact_repair</x:v>
      </x:c>
      <x:c r="F6" s="29" t="str">
        <x:v>canonical prescreen excludes this record</x:v>
      </x:c>
      <x:c r="G6" s="29" t="str">
        <x:v>identity_mismatch</x:v>
      </x:c>
      <x:c r="H6" s="30" t="str">
        <x:v>https://doi.org/10.1007/7854_2021_267</x:v>
      </x:c>
    </x:row>
    <x:row r="7" ht="52.79999923706055" hidden="0" customHeight="1">
      <x:c r="A7" s="28" t="str">
        <x:v>10.1007/7854_2021_268</x:v>
      </x:c>
      <x:c r="B7" s="29" t="str">
        <x:v>Psychedelic Group Therapy</x:v>
      </x:c>
      <x:c r="C7" s="29" t="str">
        <x:v>article</x:v>
      </x:c>
      <x:c r="D7" s="29" t="n">
        <x:v>0</x:v>
      </x:c>
      <x:c r="E7" s="29" t="str">
        <x:v>excluded_prescreen_no_artifact_repair</x:v>
      </x:c>
      <x:c r="F7" s="29" t="str">
        <x:v>canonical prescreen excludes this record</x:v>
      </x:c>
      <x:c r="G7" s="29" t="str">
        <x:v>identity_mismatch</x:v>
      </x:c>
      <x:c r="H7" s="30" t="str">
        <x:v>https://doi.org/10.1007/7854_2021_268</x:v>
      </x:c>
    </x:row>
    <x:row r="8" ht="105.5999984741211" hidden="0" customHeight="1">
      <x:c r="A8" s="28" t="str">
        <x:v>10.1007/7854_2021_269</x:v>
      </x:c>
      <x:c r="B8" s="29" t="str">
        <x:v>Psychedelic-Assisted Therapy for Social Adaptability in Autistic Adults</x:v>
      </x:c>
      <x:c r="C8" s="29" t="str">
        <x:v>article</x:v>
      </x:c>
      <x:c r="D8" s="29" t="n">
        <x:v>0</x:v>
      </x:c>
      <x:c r="E8" s="29" t="str">
        <x:v>excluded_prescreen_no_artifact_repair</x:v>
      </x:c>
      <x:c r="F8" s="29" t="str">
        <x:v>canonical prescreen excludes this record</x:v>
      </x:c>
      <x:c r="G8" s="29" t="str">
        <x:v>identity_mismatch</x:v>
      </x:c>
      <x:c r="H8" s="30" t="str">
        <x:v>https://doi.org/10.1007/7854_2021_269</x:v>
      </x:c>
    </x:row>
    <x:row r="9" ht="52.79999923706055" hidden="0" customHeight="1">
      <x:c r="A9" s="28" t="str">
        <x:v>10.1007/7854_2021_270</x:v>
      </x:c>
      <x:c r="B9" s="29" t="str">
        <x:v>Dosing Psychedelics and MDMA</x:v>
      </x:c>
      <x:c r="C9" s="29" t="str">
        <x:v>article</x:v>
      </x:c>
      <x:c r="D9" s="29" t="n">
        <x:v>0</x:v>
      </x:c>
      <x:c r="E9" s="29" t="str">
        <x:v>excluded_prescreen_no_artifact_repair</x:v>
      </x:c>
      <x:c r="F9" s="29" t="str">
        <x:v>canonical prescreen excludes this record</x:v>
      </x:c>
      <x:c r="G9" s="29" t="str">
        <x:v>identity_mismatch</x:v>
      </x:c>
      <x:c r="H9" s="30" t="str">
        <x:v>https://doi.org/10.1007/7854_2021_270</x:v>
      </x:c>
    </x:row>
    <x:row r="10" ht="105.5999984741211" hidden="0" customHeight="1">
      <x:c r="A10" s="28" t="str">
        <x:v>10.1007/7854_2021_278</x:v>
      </x:c>
      <x:c r="B10" s="29" t="str">
        <x:v>The Potential of Psychedelics for End of Life and Palliative Care</x:v>
      </x:c>
      <x:c r="C10" s="29" t="str">
        <x:v>review</x:v>
      </x:c>
      <x:c r="D10" s="29" t="n">
        <x:v>0</x:v>
      </x:c>
      <x:c r="E10" s="29" t="str">
        <x:v>excluded_prescreen_no_artifact_repair</x:v>
      </x:c>
      <x:c r="F10" s="29" t="str">
        <x:v>canonical prescreen excludes this record</x:v>
      </x:c>
      <x:c r="G10" s="29" t="str">
        <x:v>identity_mismatch</x:v>
      </x:c>
      <x:c r="H10" s="30" t="str">
        <x:v>https://doi.org/10.1007/7854_2021_278</x:v>
      </x:c>
    </x:row>
    <x:row r="11" ht="158.39999389648438" hidden="0" customHeight="1">
      <x:c r="A11" s="28" t="str">
        <x:v>10.1007/7854_2021_284</x:v>
      </x:c>
      <x:c r="B11" s="29" t="str">
        <x:v>Psychedelic-Assisted Therapy for Substance Use Disorders and Potential Mechanisms of Action</x:v>
      </x:c>
      <x:c r="C11" s="29" t="str">
        <x:v>article</x:v>
      </x:c>
      <x:c r="D11" s="29" t="n">
        <x:v>0</x:v>
      </x:c>
      <x:c r="E11" s="29" t="str">
        <x:v>excluded_prescreen_no_artifact_repair</x:v>
      </x:c>
      <x:c r="F11" s="29" t="str">
        <x:v>canonical prescreen excludes this record</x:v>
      </x:c>
      <x:c r="G11" s="29" t="str">
        <x:v>identity_mismatch</x:v>
      </x:c>
      <x:c r="H11" s="30" t="str">
        <x:v>https://doi.org/10.1007/7854_2021_284</x:v>
      </x:c>
    </x:row>
    <x:row r="12" ht="184.8000030517578" hidden="0" customHeight="1">
      <x:c r="A12" s="28" t="str">
        <x:v>10.1007/7854_2021_298</x:v>
      </x:c>
      <x:c r="B12" s="29" t="str">
        <x:v>Effects of Setting on Psychedelic Experiences, Therapies, and Outcomes: A Rapid Scoping Review of the Literature</x:v>
      </x:c>
      <x:c r="C12" s="29" t="str">
        <x:v>article</x:v>
      </x:c>
      <x:c r="D12" s="29" t="n">
        <x:v>0</x:v>
      </x:c>
      <x:c r="E12" s="29" t="str">
        <x:v>excluded_prescreen_no_artifact_repair</x:v>
      </x:c>
      <x:c r="F12" s="29" t="str">
        <x:v>canonical prescreen excludes this record</x:v>
      </x:c>
      <x:c r="G12" s="29" t="str">
        <x:v>identity_mismatch</x:v>
      </x:c>
      <x:c r="H12" s="30" t="str">
        <x:v>https://doi.org/10.1007/7854_2021_298</x:v>
      </x:c>
    </x:row>
    <x:row r="13" ht="145.1999969482422" hidden="0" customHeight="1">
      <x:c r="A13" s="28" t="str">
        <x:v>10.1007/7854_2022_327</x:v>
      </x:c>
      <x:c r="B13" s="29" t="str">
        <x:v>Classic Psychedelics in Addiction Treatment: The Case for Psilocybin in Tobacco Smoking Cessation</x:v>
      </x:c>
      <x:c r="C13" s="29" t="str">
        <x:v>review</x:v>
      </x:c>
      <x:c r="D13" s="29" t="n">
        <x:v>0</x:v>
      </x:c>
      <x:c r="E13" s="29" t="str">
        <x:v>excluded_prescreen_no_artifact_repair</x:v>
      </x:c>
      <x:c r="F13" s="29" t="str">
        <x:v>canonical prescreen excludes this record</x:v>
      </x:c>
      <x:c r="G13" s="29" t="str">
        <x:v>identity_mismatch</x:v>
      </x:c>
      <x:c r="H13" s="30" t="str">
        <x:v>https://doi.org/10.1007/7854_2022_327</x:v>
      </x:c>
    </x:row>
    <x:row r="14" ht="66" hidden="0" customHeight="1">
      <x:c r="A14" s="28" t="str">
        <x:v>10.1007/7854_2022_357</x:v>
      </x:c>
      <x:c r="B14" s="29" t="str">
        <x:v>Pharmacological Treatments for Anhedonia</x:v>
      </x:c>
      <x:c r="C14" s="29" t="str">
        <x:v>article</x:v>
      </x:c>
      <x:c r="D14" s="29" t="n">
        <x:v>0</x:v>
      </x:c>
      <x:c r="E14" s="29" t="str">
        <x:v>excluded_prescreen_no_artifact_repair</x:v>
      </x:c>
      <x:c r="F14" s="29" t="str">
        <x:v>canonical prescreen excludes this record</x:v>
      </x:c>
      <x:c r="G14" s="29" t="str">
        <x:v>identity_mismatch</x:v>
      </x:c>
      <x:c r="H14" s="30" t="str">
        <x:v>https://doi.org/10.1007/7854_2022_357</x:v>
      </x:c>
    </x:row>
    <x:row r="15" ht="118.80000305175781" hidden="0" customHeight="1">
      <x:c r="A15" s="28" t="str">
        <x:v>10.1007/7854_2022_365</x:v>
      </x:c>
      <x:c r="B15" s="29" t="str">
        <x:v>Psychedelics in the Treatment of Headache and Chronic Pain Disorders</x:v>
      </x:c>
      <x:c r="C15" s="29" t="str">
        <x:v>review</x:v>
      </x:c>
      <x:c r="D15" s="29" t="n">
        <x:v>0</x:v>
      </x:c>
      <x:c r="E15" s="29" t="str">
        <x:v>excluded_prescreen_no_artifact_repair</x:v>
      </x:c>
      <x:c r="F15" s="29" t="str">
        <x:v>canonical prescreen excludes this record</x:v>
      </x:c>
      <x:c r="G15" s="29" t="str">
        <x:v>identity_mismatch</x:v>
      </x:c>
      <x:c r="H15" s="30" t="str">
        <x:v>https://doi.org/10.1007/7854_2022_365</x:v>
      </x:c>
    </x:row>
    <x:row r="16" ht="66" hidden="0" customHeight="1">
      <x:c r="A16" s="28" t="str">
        <x:v>10.1007/7854_2022_366</x:v>
      </x:c>
      <x:c r="B16" s="29" t="str">
        <x:v>Psilocybin for Trauma-Related Disorders</x:v>
      </x:c>
      <x:c r="C16" s="29" t="str">
        <x:v>review</x:v>
      </x:c>
      <x:c r="D16" s="29" t="n">
        <x:v>0</x:v>
      </x:c>
      <x:c r="E16" s="29" t="str">
        <x:v>excluded_prescreen_no_artifact_repair</x:v>
      </x:c>
      <x:c r="F16" s="29" t="str">
        <x:v>canonical prescreen excludes this record</x:v>
      </x:c>
      <x:c r="G16" s="29" t="str">
        <x:v>identity_mismatch</x:v>
      </x:c>
      <x:c r="H16" s="30" t="str">
        <x:v>https://doi.org/10.1007/7854_2022_366</x:v>
      </x:c>
    </x:row>
    <x:row r="17" ht="92.4000015258789" hidden="0" customHeight="1">
      <x:c r="A17" s="28" t="str">
        <x:v>10.1007/7854_2023_443</x:v>
      </x:c>
      <x:c r="B17" s="29" t="str">
        <x:v>Enhancing Fear Extinction: Pharmacological Approaches</x:v>
      </x:c>
      <x:c r="C17" s="29" t="str">
        <x:v>article</x:v>
      </x:c>
      <x:c r="D17" s="29" t="n">
        <x:v>0</x:v>
      </x:c>
      <x:c r="E17" s="29" t="str">
        <x:v>excluded_prescreen_no_artifact_repair</x:v>
      </x:c>
      <x:c r="F17" s="29" t="str">
        <x:v>canonical prescreen excludes this record</x:v>
      </x:c>
      <x:c r="G17" s="29" t="str">
        <x:v>identity_mismatch</x:v>
      </x:c>
      <x:c r="H17" s="30" t="str">
        <x:v>https://doi.org/10.1007/7854_2023_443</x:v>
      </x:c>
    </x:row>
    <x:row r="18" ht="52.79999923706055" hidden="0" customHeight="1">
      <x:c r="A18" s="28" t="str">
        <x:v>10.1007/7854_2023_453</x:v>
      </x:c>
      <x:c r="B18" s="29" t="str">
        <x:v>Ketamine for Major Depressive Disorder</x:v>
      </x:c>
      <x:c r="C18" s="29" t="str">
        <x:v>review</x:v>
      </x:c>
      <x:c r="D18" s="29" t="n">
        <x:v>0</x:v>
      </x:c>
      <x:c r="E18" s="29" t="str">
        <x:v>excluded_prescreen_no_artifact_repair</x:v>
      </x:c>
      <x:c r="F18" s="29" t="str">
        <x:v>canonical prescreen excludes this record</x:v>
      </x:c>
      <x:c r="G18" s="29" t="str">
        <x:v>identity_mismatch</x:v>
      </x:c>
      <x:c r="H18" s="30" t="str">
        <x:v>https://doi.org/10.1007/7854_2023_453</x:v>
      </x:c>
    </x:row>
    <x:row r="19" ht="132" hidden="0" customHeight="1">
      <x:c r="A19" s="28" t="str">
        <x:v>10.1007/7854_2024_510</x:v>
      </x:c>
      <x:c r="B19" s="29" t="str">
        <x:v>Pharmacological Properties of Psychedelics with a Special Focus on Potential Harms</x:v>
      </x:c>
      <x:c r="C19" s="29" t="str">
        <x:v>article</x:v>
      </x:c>
      <x:c r="D19" s="29" t="n">
        <x:v>0</x:v>
      </x:c>
      <x:c r="E19" s="29" t="str">
        <x:v>excluded_prescreen_no_artifact_repair</x:v>
      </x:c>
      <x:c r="F19" s="29" t="str">
        <x:v>canonical prescreen excludes this record</x:v>
      </x:c>
      <x:c r="G19" s="29" t="str">
        <x:v>identity_mismatch</x:v>
      </x:c>
      <x:c r="H19" s="30" t="str">
        <x:v>https://doi.org/10.1007/7854_2024_510</x:v>
      </x:c>
    </x:row>
    <x:row r="20" ht="92.4000015258789" hidden="0" customHeight="1">
      <x:c r="A20" s="28" t="str">
        <x:v>10.1007/7854_2024_531</x:v>
      </x:c>
      <x:c r="B20" s="29" t="str">
        <x:v>Epistemic Risk Reduction in Psychedelic-Assisted Therapy</x:v>
      </x:c>
      <x:c r="C20" s="29" t="str">
        <x:v>article</x:v>
      </x:c>
      <x:c r="D20" s="29" t="n">
        <x:v>0</x:v>
      </x:c>
      <x:c r="E20" s="29" t="str">
        <x:v>excluded_prescreen_no_artifact_repair</x:v>
      </x:c>
      <x:c r="F20" s="29" t="str">
        <x:v>canonical prescreen excludes this record</x:v>
      </x:c>
      <x:c r="G20" s="29" t="str">
        <x:v>identity_mismatch</x:v>
      </x:c>
      <x:c r="H20" s="30" t="str">
        <x:v>https://doi.org/10.1007/7854_2024_531</x:v>
      </x:c>
    </x:row>
    <x:row r="21" ht="211.1999969482422" hidden="0" customHeight="1">
      <x:c r="A21" s="28" t="str">
        <x:v>10.1007/7854_2024_532</x:v>
      </x:c>
      <x:c r="B21" s="29" t="str">
        <x:v>Deepening Psychedelic Integration: Exploring Complex Settings, Understanding User’s Struggles, and Implementing Safe Interventions</x:v>
      </x:c>
      <x:c r="C21" s="29" t="str">
        <x:v>article</x:v>
      </x:c>
      <x:c r="D21" s="29" t="n">
        <x:v>0</x:v>
      </x:c>
      <x:c r="E21" s="29" t="str">
        <x:v>excluded_prescreen_no_artifact_repair</x:v>
      </x:c>
      <x:c r="F21" s="29" t="str">
        <x:v>canonical prescreen excludes this record</x:v>
      </x:c>
      <x:c r="G21" s="29" t="str">
        <x:v>identity_mismatch</x:v>
      </x:c>
      <x:c r="H21" s="30" t="str">
        <x:v>https://doi.org/10.1007/7854_2024_532</x:v>
      </x:c>
    </x:row>
    <x:row r="22" ht="145.1999969482422" hidden="0" customHeight="1">
      <x:c r="A22" s="28" t="str">
        <x:v>10.1007/7854_2024_534</x:v>
      </x:c>
      <x:c r="B22" s="29" t="str">
        <x:v>Anxiety and Affective Symptoms Related to the Use of Classic Psychedelics: A Systematic Review</x:v>
      </x:c>
      <x:c r="C22" s="29" t="str">
        <x:v>review</x:v>
      </x:c>
      <x:c r="D22" s="29" t="n">
        <x:v>0</x:v>
      </x:c>
      <x:c r="E22" s="29" t="str">
        <x:v>excluded_prescreen_no_artifact_repair</x:v>
      </x:c>
      <x:c r="F22" s="29" t="str">
        <x:v>canonical prescreen excludes this record</x:v>
      </x:c>
      <x:c r="G22" s="29" t="str">
        <x:v>identity_mismatch</x:v>
      </x:c>
      <x:c r="H22" s="30" t="str">
        <x:v>https://doi.org/10.1007/7854_2024_534</x:v>
      </x:c>
    </x:row>
    <x:row r="23" ht="145.1999969482422" hidden="0" customHeight="1">
      <x:c r="A23" s="28" t="str">
        <x:v>10.1007/7854_2025_600</x:v>
      </x:c>
      <x:c r="B23" s="29" t="str">
        <x:v>Acute Effects and Long-Term Neuropsychological Consequences of Classic Psychedelics Use</x:v>
      </x:c>
      <x:c r="C23" s="29" t="str">
        <x:v>article</x:v>
      </x:c>
      <x:c r="D23" s="29" t="n">
        <x:v>0</x:v>
      </x:c>
      <x:c r="E23" s="29" t="str">
        <x:v>excluded_prescreen_no_artifact_repair</x:v>
      </x:c>
      <x:c r="F23" s="29" t="str">
        <x:v>canonical prescreen excludes this record</x:v>
      </x:c>
      <x:c r="G23" s="29" t="str">
        <x:v>identity_mismatch</x:v>
      </x:c>
      <x:c r="H23" s="30" t="str">
        <x:v>https://doi.org/10.1007/7854_2025_600</x:v>
      </x:c>
    </x:row>
    <x:row r="24" ht="158.39999389648438" hidden="0" customHeight="1">
      <x:c r="A24" s="28" t="str">
        <x:v>10.1007/7854_2025_606</x:v>
      </x:c>
      <x:c r="B24" s="29" t="str">
        <x:v>Psychedelic Drug Checking: Analytical and Strategic Challenges in Harm Reduction for Classic Psychedelics</x:v>
      </x:c>
      <x:c r="C24" s="29" t="str">
        <x:v>article</x:v>
      </x:c>
      <x:c r="D24" s="29" t="n">
        <x:v>0</x:v>
      </x:c>
      <x:c r="E24" s="29" t="str">
        <x:v>excluded_prescreen_no_artifact_repair</x:v>
      </x:c>
      <x:c r="F24" s="29" t="str">
        <x:v>canonical prescreen excludes this record</x:v>
      </x:c>
      <x:c r="G24" s="29" t="str">
        <x:v>identity_mismatch</x:v>
      </x:c>
      <x:c r="H24" s="30" t="str">
        <x:v>https://doi.org/10.1007/7854_2025_606</x:v>
      </x:c>
    </x:row>
    <x:row r="25" ht="171.60000610351562" hidden="0" customHeight="1">
      <x:c r="A25" s="28" t="str">
        <x:v>10.1007/7854_2025_609</x:v>
      </x:c>
      <x:c r="B25" s="29" t="str">
        <x:v>Ontologically Challenging Psychedelic Experiences: Considerations for Managing Associated Distress</x:v>
      </x:c>
      <x:c r="C25" s="29" t="str">
        <x:v>book-chapter</x:v>
      </x:c>
      <x:c r="D25" s="29" t="n">
        <x:v>0</x:v>
      </x:c>
      <x:c r="E25" s="29" t="str">
        <x:v>excluded_prescreen_no_artifact_repair</x:v>
      </x:c>
      <x:c r="F25" s="29" t="str">
        <x:v>canonical prescreen excludes this record</x:v>
      </x:c>
      <x:c r="G25" s="29" t="str">
        <x:v>identity_mismatch</x:v>
      </x:c>
      <x:c r="H25" s="30" t="str">
        <x:v>https://doi.org/10.1007/7854_2025_609</x:v>
      </x:c>
    </x:row>
    <x:row r="26" ht="290.3999938964844" hidden="0" customHeight="1">
      <x:c r="A26" s="28" t="str">
        <x:v>10.1007/7854_2025_610</x:v>
      </x:c>
      <x:c r="B26" s="29" t="str">
        <x:v>Flashbacks, Hallucinogen Persisting Perception Disorder (HPPD), and Reactivations Following the Use of Classic Psychedelics: Classification and Therapeutic Management</x:v>
      </x:c>
      <x:c r="C26" s="29" t="str">
        <x:v>book-chapter</x:v>
      </x:c>
      <x:c r="D26" s="29" t="n">
        <x:v>0</x:v>
      </x:c>
      <x:c r="E26" s="29" t="str">
        <x:v>excluded_prescreen_no_artifact_repair</x:v>
      </x:c>
      <x:c r="F26" s="29" t="str">
        <x:v>canonical prescreen excludes this record</x:v>
      </x:c>
      <x:c r="G26" s="29" t="str">
        <x:v>identity_mismatch</x:v>
      </x:c>
      <x:c r="H26" s="30" t="str">
        <x:v>https://doi.org/10.1007/7854_2025_610</x:v>
      </x:c>
    </x:row>
    <x:row r="27" ht="158.39999389648438" hidden="0" customHeight="1">
      <x:c r="A27" s="28" t="str">
        <x:v>10.1007/7854_2025_612</x:v>
      </x:c>
      <x:c r="B27" s="29" t="str">
        <x:v>Managing Psychological Challenges in the Subacute (“Afterglow”) Window of Psychedelic Drug Effects</x:v>
      </x:c>
      <x:c r="C27" s="29" t="str">
        <x:v>article</x:v>
      </x:c>
      <x:c r="D27" s="29" t="n">
        <x:v>0</x:v>
      </x:c>
      <x:c r="E27" s="29" t="str">
        <x:v>excluded_prescreen_no_artifact_repair</x:v>
      </x:c>
      <x:c r="F27" s="29" t="str">
        <x:v>canonical prescreen excludes this record</x:v>
      </x:c>
      <x:c r="G27" s="29" t="str">
        <x:v>identity_mismatch</x:v>
      </x:c>
      <x:c r="H27" s="30" t="str">
        <x:v>https://doi.org/10.1007/7854_2025_612</x:v>
      </x:c>
    </x:row>
    <x:row r="28" ht="118.80000305175781" hidden="0" customHeight="1">
      <x:c r="A28" s="28" t="str">
        <x:v>10.1007/7854_2026_613</x:v>
      </x:c>
      <x:c r="B28" s="29" t="str">
        <x:v>Psychedelic-Related Psychosis: From Model Psychosis to Psychotherapy</x:v>
      </x:c>
      <x:c r="C28" s="29" t="str">
        <x:v>book-chapter</x:v>
      </x:c>
      <x:c r="D28" s="29" t="n">
        <x:v>0</x:v>
      </x:c>
      <x:c r="E28" s="29" t="str">
        <x:v>excluded_prescreen_no_artifact_repair</x:v>
      </x:c>
      <x:c r="F28" s="29" t="str">
        <x:v>canonical prescreen excludes this record</x:v>
      </x:c>
      <x:c r="G28" s="29" t="str">
        <x:v>identity_mismatch</x:v>
      </x:c>
      <x:c r="H28" s="30" t="str">
        <x:v>https://doi.org/10.1007/7854_2026_613</x:v>
      </x:c>
    </x:row>
    <x:row r="29" ht="118.80000305175781" hidden="0" customHeight="1">
      <x:c r="A29" s="28" t="str">
        <x:v>10.1007/978-981-95-6872-7_23</x:v>
      </x:c>
      <x:c r="B29" s="29" t="str">
        <x:v>New Antidepressant Development in the Treatment of Depression</x:v>
      </x:c>
      <x:c r="C29" s="29" t="str">
        <x:v>book-chapter</x:v>
      </x:c>
      <x:c r="D29" s="29" t="n">
        <x:v>0</x:v>
      </x:c>
      <x:c r="E29" s="29" t="str">
        <x:v>excluded_prescreen_no_artifact_repair</x:v>
      </x:c>
      <x:c r="F29" s="29" t="str">
        <x:v>canonical prescreen excludes this record</x:v>
      </x:c>
      <x:c r="G29" s="29" t="str">
        <x:v>identity_mismatch</x:v>
      </x:c>
      <x:c r="H29" s="30" t="str">
        <x:v>https://doi.org/10.1007/978-981-95-6872-7_23</x:v>
      </x:c>
    </x:row>
    <x:row r="30" ht="92.4000015258789" hidden="0" customHeight="1">
      <x:c r="A30" s="28" t="str">
        <x:v>10.1007/978-981-95-6872-7_25</x:v>
      </x:c>
      <x:c r="B30" s="29" t="str">
        <x:v>Psychedelics: Future Therapeutics in Major Depression?</x:v>
      </x:c>
      <x:c r="C30" s="29" t="str">
        <x:v>book-chapter</x:v>
      </x:c>
      <x:c r="D30" s="29" t="n">
        <x:v>0</x:v>
      </x:c>
      <x:c r="E30" s="29" t="str">
        <x:v>excluded_prescreen_no_artifact_repair</x:v>
      </x:c>
      <x:c r="F30" s="29" t="str">
        <x:v>canonical prescreen excludes this record</x:v>
      </x:c>
      <x:c r="G30" s="29" t="str">
        <x:v>identity_mismatch</x:v>
      </x:c>
      <x:c r="H30" s="30" t="str">
        <x:v>https://doi.org/10.1007/978-981-95-6872-7_25</x:v>
      </x:c>
    </x:row>
    <x:row r="31" ht="79.19999694824219" hidden="0" customHeight="1">
      <x:c r="A31" s="28" t="str">
        <x:v>10.1007/978-981-95-6872-7_5</x:v>
      </x:c>
      <x:c r="B31" s="29" t="str">
        <x:v>Rethinking the Treatment-Resistant Depression</x:v>
      </x:c>
      <x:c r="C31" s="29" t="str">
        <x:v>book-chapter</x:v>
      </x:c>
      <x:c r="D31" s="29" t="n">
        <x:v>0</x:v>
      </x:c>
      <x:c r="E31" s="29" t="str">
        <x:v>excluded_prescreen_no_artifact_repair</x:v>
      </x:c>
      <x:c r="F31" s="29" t="str">
        <x:v>canonical prescreen excludes this record</x:v>
      </x:c>
      <x:c r="G31" s="29" t="str">
        <x:v>target_text_with_conflicting_doi</x:v>
      </x:c>
      <x:c r="H31" s="30" t="str">
        <x:v>https://doi.org/10.1007/978-981-95-6872-7_5</x:v>
      </x:c>
    </x:row>
    <x:row r="32" ht="145.1999969482422" hidden="0" customHeight="1">
      <x:c r="A32" s="28" t="str">
        <x:v>10.1007/bf03016530</x:v>
      </x:c>
      <x:c r="B32" s="29" t="str">
        <x:v>Systemic ketamine inhibits hypersensitivity after surgery via descending inhibitory pathways in rats</x:v>
      </x:c>
      <x:c r="C32" s="29" t="str">
        <x:v>primary</x:v>
      </x:c>
      <x:c r="D32" s="29" t="n">
        <x:v>0</x:v>
      </x:c>
      <x:c r="E32" s="29" t="str">
        <x:v>not_retained_no_artifact_repair</x:v>
      </x:c>
      <x:c r="F32" s="29" t="str">
        <x:v>record is not currently retained after downstream screening/routing</x:v>
      </x:c>
      <x:c r="G32" s="29" t="str">
        <x:v>identity_unverified</x:v>
      </x:c>
      <x:c r="H32" s="30" t="str">
        <x:v>https://doi.org/10.1007/bf03016530</x:v>
      </x:c>
    </x:row>
    <x:row r="33" ht="290.3999938964844" hidden="0" customHeight="1">
      <x:c r="A33" s="28" t="str">
        <x:v>10.1007/s00210-025-04945-8</x:v>
      </x:c>
      <x:c r="B33" s="29" t="str">
        <x:v>Subanesthetic S-ketamine prevents postoperative delirium and reduces inflammatory cytokines in older patients receiving hip fracture surgery: a randomized, controlled study</x:v>
      </x:c>
      <x:c r="C33" s="29" t="str">
        <x:v>primary</x:v>
      </x:c>
      <x:c r="D33" s="29" t="n">
        <x:v>0</x:v>
      </x:c>
      <x:c r="E33" s="29" t="str">
        <x:v>not_retained_no_artifact_repair</x:v>
      </x:c>
      <x:c r="F33" s="29" t="str">
        <x:v>record is not currently retained after downstream screening/routing</x:v>
      </x:c>
      <x:c r="G33" s="29" t="str">
        <x:v>identity_mismatch</x:v>
      </x:c>
      <x:c r="H33" s="30" t="str">
        <x:v>https://doi.org/10.1007/s00210-025-04945-8</x:v>
      </x:c>
    </x:row>
    <x:row r="34" ht="224.39999389648438" hidden="0" customHeight="1">
      <x:c r="A34" s="28" t="str">
        <x:v>10.1007/s10072-024-07635-0</x:v>
      </x:c>
      <x:c r="B34" s="29" t="str">
        <x:v>Ketamine reduces seizure and interictal continuum activity in refractory status epilepticus: a multicenter in-person and teleneurocritical care study</x:v>
      </x:c>
      <x:c r="C34" s="29" t="str">
        <x:v>primary</x:v>
      </x:c>
      <x:c r="D34" s="29" t="n">
        <x:v>0</x:v>
      </x:c>
      <x:c r="E34" s="29" t="str">
        <x:v>not_retained_no_artifact_repair</x:v>
      </x:c>
      <x:c r="F34" s="29" t="str">
        <x:v>record is not currently retained after downstream screening/routing</x:v>
      </x:c>
      <x:c r="G34" s="29" t="str">
        <x:v>identity_mismatch</x:v>
      </x:c>
      <x:c r="H34" s="30" t="str">
        <x:v>https://doi.org/10.1007/s10072-024-07635-0</x:v>
      </x:c>
    </x:row>
    <x:row r="35" ht="290.3999938964844" hidden="0" customHeight="1">
      <x:c r="A35" s="28" t="str">
        <x:v>10.1007/s11655-024-3906-2</x:v>
      </x:c>
      <x:c r="B35" s="29" t="str">
        <x:v>Rapid Antidepressant-Like Potential of Chaihu Shugan San Depends on Suppressing Glutamate Neurotransmission and Activating Synaptic Proteins in Hippocampus of Female Mice</x:v>
      </x:c>
      <x:c r="C35" s="29" t="str">
        <x:v>primary</x:v>
      </x:c>
      <x:c r="D35" s="29" t="n">
        <x:v>0</x:v>
      </x:c>
      <x:c r="E35" s="29" t="str">
        <x:v>not_retained_no_artifact_repair</x:v>
      </x:c>
      <x:c r="F35" s="29" t="str">
        <x:v>record is not currently retained after downstream screening/routing</x:v>
      </x:c>
      <x:c r="G35" s="29" t="str">
        <x:v>identity_mismatch</x:v>
      </x:c>
      <x:c r="H35" s="30" t="str">
        <x:v>https://doi.org/10.1007/s11655-024-3906-2</x:v>
      </x:c>
    </x:row>
    <x:row r="36" ht="198" hidden="0" customHeight="1">
      <x:c r="A36" s="28" t="str">
        <x:v>10.1016/j.eurpsy.2016.01.1060</x:v>
      </x:c>
      <x:c r="B36" s="29" t="str">
        <x:v>The “Endless Trip”: Psychopathology and psychopharmacology in the Hallucinogen Persisting Perception Disorder (HPPD)</x:v>
      </x:c>
      <x:c r="C36" s="29" t="str">
        <x:v>article</x:v>
      </x:c>
      <x:c r="D36" s="29" t="n">
        <x:v>0</x:v>
      </x:c>
      <x:c r="E36" s="29" t="str">
        <x:v>excluded_prescreen_no_artifact_repair</x:v>
      </x:c>
      <x:c r="F36" s="29" t="str">
        <x:v>canonical prescreen excludes this record</x:v>
      </x:c>
      <x:c r="G36" s="29" t="str">
        <x:v>target_text_with_conflicting_doi | unsegmented_proceedings_container</x:v>
      </x:c>
      <x:c r="H36" s="30" t="str">
        <x:v>https://doi.org/10.1016/j.eurpsy.2016.01.1060</x:v>
      </x:c>
    </x:row>
    <x:row r="37" ht="132" hidden="0" customHeight="1">
      <x:c r="A37" s="28" t="str">
        <x:v>10.1016/j.eurpsy.2017.11.007</x:v>
      </x:c>
      <x:c r="B37" s="29" t="str">
        <x:v>TRIMAGE: A dedicated trimodality (PET/MR/EEG) imaging tool for schizophrenia</x:v>
      </x:c>
      <x:c r="C37" s="29" t="str">
        <x:v>journal-article</x:v>
      </x:c>
      <x:c r="D37" s="29" t="n">
        <x:v>0</x:v>
      </x:c>
      <x:c r="E37" s="29" t="str">
        <x:v>excluded_prescreen_no_artifact_repair</x:v>
      </x:c>
      <x:c r="F37" s="29" t="str">
        <x:v>canonical prescreen excludes this record</x:v>
      </x:c>
      <x:c r="G37" s="29" t="str">
        <x:v>unsegmented_proceedings_container</x:v>
      </x:c>
      <x:c r="H37" s="30" t="str">
        <x:v>https://doi.org/10.1016/j.eurpsy.2017.11.007</x:v>
      </x:c>
    </x:row>
    <x:row r="38" ht="184.8000030517578" hidden="0" customHeight="1">
      <x:c r="A38" s="28" t="str">
        <x:v>10.1016/s0924-9338(09)70667-4</x:v>
      </x:c>
      <x:c r="B38" s="29" t="str">
        <x:v>Serotonin Transporter Concentration is Decreased in Cerebral Cortex but not in Striatum of Chronic MDMA (ecstasy) Users</x:v>
      </x:c>
      <x:c r="C38" s="29" t="str">
        <x:v>journal-article</x:v>
      </x:c>
      <x:c r="D38" s="29" t="n">
        <x:v>0</x:v>
      </x:c>
      <x:c r="E38" s="29" t="str">
        <x:v>excluded_prescreen_no_artifact_repair</x:v>
      </x:c>
      <x:c r="F38" s="29" t="str">
        <x:v>canonical prescreen excludes this record</x:v>
      </x:c>
      <x:c r="G38" s="29" t="str">
        <x:v>unsegmented_proceedings_container</x:v>
      </x:c>
      <x:c r="H38" s="30" t="str">
        <x:v>https://doi.org/10.1016/s0924-9338(09)70667-4</x:v>
      </x:c>
    </x:row>
    <x:row r="39" ht="211.1999969482422" hidden="0" customHeight="1">
      <x:c r="A39" s="28" t="str">
        <x:v>10.1016/s0924-9338(15)30573-3</x:v>
      </x:c>
      <x:c r="B39" s="29" t="str">
        <x:v>Temporal Dynamics of Antidepressant Ketamine Effects On Glutamine Cycling Follow Regional Fingerprints of Ampa and Nmda Receptor Densities</x:v>
      </x:c>
      <x:c r="C39" s="29" t="str">
        <x:v>article</x:v>
      </x:c>
      <x:c r="D39" s="29" t="n">
        <x:v>0</x:v>
      </x:c>
      <x:c r="E39" s="29" t="str">
        <x:v>excluded_prescreen_no_artifact_repair</x:v>
      </x:c>
      <x:c r="F39" s="29" t="str">
        <x:v>canonical prescreen excludes this record</x:v>
      </x:c>
      <x:c r="G39" s="29" t="str">
        <x:v>target_text_with_conflicting_doi | unsegmented_proceedings_container</x:v>
      </x:c>
      <x:c r="H39" s="30" t="str">
        <x:v>https://doi.org/10.1016/s0924-9338(15)30573-3</x:v>
      </x:c>
    </x:row>
    <x:row r="40" ht="184.8000030517578" hidden="0" customHeight="1">
      <x:c r="A40" s="28" t="str">
        <x:v>10.1016/s2215-0366(18)30170-6</x:v>
      </x:c>
      <x:c r="B40" s="29" t="str">
        <x:v>3,4-methylenedioxymethamphetamine (MDMA)-assisted psychotherapy for post-traumatic stress disorder in service personnel.</x:v>
      </x:c>
      <x:c r="C40" s="29" t="str">
        <x:v>other_non_primary</x:v>
      </x:c>
      <x:c r="D40" s="29" t="n">
        <x:v>0</x:v>
      </x:c>
      <x:c r="E40" s="29" t="str">
        <x:v>not_retained_no_artifact_repair</x:v>
      </x:c>
      <x:c r="F40" s="29" t="str">
        <x:v>record is not currently retained after downstream screening/routing</x:v>
      </x:c>
      <x:c r="G40" s="29" t="str">
        <x:v>identity_unverified</x:v>
      </x:c>
      <x:c r="H40" s="30" t="str">
        <x:v>https://doi.org/10.1016/s2215-0366(18)30170-6</x:v>
      </x:c>
    </x:row>
    <x:row r="41" ht="277.20001220703125" hidden="0" customHeight="1">
      <x:c r="A41" s="28" t="str">
        <x:v>10.1017/cts.2019.110</x:v>
      </x:c>
      <x:c r="B41" s="29" t="str">
        <x:v>3525 Improvement in Suicidal Ideation after Repeated Ketamine Infusions: Relationship to Reductions in Symptoms of Posttraumatic Stress Disorder, Depression, and Pain.</x:v>
      </x:c>
      <x:c r="C41" s="29" t="str">
        <x:v>journal-article</x:v>
      </x:c>
      <x:c r="D41" s="29" t="n">
        <x:v>0</x:v>
      </x:c>
      <x:c r="E41" s="29" t="str">
        <x:v>excluded_prescreen_no_artifact_repair</x:v>
      </x:c>
      <x:c r="F41" s="29" t="str">
        <x:v>canonical prescreen excludes this record</x:v>
      </x:c>
      <x:c r="G41" s="29" t="str">
        <x:v>unsegmented_proceedings_container</x:v>
      </x:c>
      <x:c r="H41" s="30" t="str">
        <x:v>https://doi.org/10.1017/cts.2019.110</x:v>
      </x:c>
    </x:row>
    <x:row r="42" ht="118.80000305175781" hidden="0" customHeight="1">
      <x:c r="A42" s="28" t="str">
        <x:v>10.1017/cts.2019.99</x:v>
      </x:c>
      <x:c r="B42" s="29" t="str">
        <x:v>3447 Effects of intranasal ketamine on uncontrolled cancer related pain.</x:v>
      </x:c>
      <x:c r="C42" s="29" t="str">
        <x:v>journal-article</x:v>
      </x:c>
      <x:c r="D42" s="29" t="n">
        <x:v>0</x:v>
      </x:c>
      <x:c r="E42" s="29" t="str">
        <x:v>excluded_prescreen_no_artifact_repair</x:v>
      </x:c>
      <x:c r="F42" s="29" t="str">
        <x:v>canonical prescreen excludes this record</x:v>
      </x:c>
      <x:c r="G42" s="29" t="str">
        <x:v>unsegmented_proceedings_container</x:v>
      </x:c>
      <x:c r="H42" s="30" t="str">
        <x:v>https://doi.org/10.1017/cts.2019.99</x:v>
      </x:c>
    </x:row>
    <x:row r="43" ht="224.39999389648438" hidden="0" customHeight="1">
      <x:c r="A43" s="28" t="str">
        <x:v>10.1017/cts.2024.274</x:v>
      </x:c>
      <x:c r="B43" s="29" t="str">
        <x:v>300 Psilocybin-induced changes in neural reactivity to alcohol and emotional cues in patients with alcohol use disorder: An fMRI pilot study</x:v>
      </x:c>
      <x:c r="C43" s="29" t="str">
        <x:v>journal-article</x:v>
      </x:c>
      <x:c r="D43" s="29" t="n">
        <x:v>0</x:v>
      </x:c>
      <x:c r="E43" s="29" t="str">
        <x:v>excluded_prescreen_no_artifact_repair</x:v>
      </x:c>
      <x:c r="F43" s="29" t="str">
        <x:v>canonical prescreen excludes this record</x:v>
      </x:c>
      <x:c r="G43" s="29" t="str">
        <x:v>unsegmented_proceedings_container</x:v>
      </x:c>
      <x:c r="H43" s="30" t="str">
        <x:v>https://doi.org/10.1017/cts.2024.274</x:v>
      </x:c>
    </x:row>
    <x:row r="44" ht="316.79998779296875" hidden="0" customHeight="1">
      <x:c r="A44" s="28" t="str">
        <x:v>10.1093/ijnp/pyae059.037</x:v>
      </x:c>
      <x:c r="B44" s="29" t="str">
        <x:v>ROLE OF KLOTHO ON ANTIDEPRESSANT AND ANTISUICIDAL EFFECTS OF LOW-DOSE KETAMINE INFUSION AMONG PATIENTS WITH TREATMENT-RESISTANT DEPRESSION AND SUICIDAL IDEATION</x:v>
      </x:c>
      <x:c r="C44" s="29" t="str">
        <x:v>article</x:v>
      </x:c>
      <x:c r="D44" s="29" t="n">
        <x:v>0</x:v>
      </x:c>
      <x:c r="E44" s="29" t="str">
        <x:v>excluded_prescreen_no_artifact_repair</x:v>
      </x:c>
      <x:c r="F44" s="29" t="str">
        <x:v>canonical prescreen excludes this record</x:v>
      </x:c>
      <x:c r="G44" s="29" t="str">
        <x:v>target_text_with_conflicting_doi | unsegmented_proceedings_container</x:v>
      </x:c>
      <x:c r="H44" s="30" t="str">
        <x:v>https://doi.org/10.1093/ijnp/pyae059.037</x:v>
      </x:c>
    </x:row>
    <x:row r="45" ht="198" hidden="0" customHeight="1">
      <x:c r="A45" s="28" t="str">
        <x:v>10.1093/ijnp/pyae059.084</x:v>
      </x:c>
      <x:c r="B45" s="29" t="str">
        <x:v>SLOW BUT STEADY: ORAL KETAMINE AS AN EFFECTIVE ADJUNCT IN DEPRESSION, ANXIETY AND PTSD.</x:v>
      </x:c>
      <x:c r="C45" s="29" t="str">
        <x:v>journal-article</x:v>
      </x:c>
      <x:c r="D45" s="29" t="n">
        <x:v>0</x:v>
      </x:c>
      <x:c r="E45" s="29" t="str">
        <x:v>excluded_prescreen_no_artifact_repair</x:v>
      </x:c>
      <x:c r="F45" s="29" t="str">
        <x:v>canonical prescreen excludes this record</x:v>
      </x:c>
      <x:c r="G45" s="29" t="str">
        <x:v>unsegmented_proceedings_container</x:v>
      </x:c>
      <x:c r="H45" s="30" t="str">
        <x:v>https://doi.org/10.1093/ijnp/pyae059.084</x:v>
      </x:c>
    </x:row>
    <x:row r="46" ht="211.1999969482422" hidden="0" customHeight="1">
      <x:c r="A46" s="28" t="str">
        <x:v>10.1093/ijnp/pyae059.087</x:v>
      </x:c>
      <x:c r="B46" s="29" t="str">
        <x:v>NEW DEVELOPMENTS IN THE MULTI-OMICS PREDICTION OF TREATMENT RESPONSE PREDICTION IN PSYCHIATRY</x:v>
      </x:c>
      <x:c r="C46" s="29" t="str">
        <x:v>article</x:v>
      </x:c>
      <x:c r="D46" s="29" t="n">
        <x:v>0</x:v>
      </x:c>
      <x:c r="E46" s="29" t="str">
        <x:v>excluded_prescreen_no_artifact_repair</x:v>
      </x:c>
      <x:c r="F46" s="29" t="str">
        <x:v>canonical prescreen excludes this record</x:v>
      </x:c>
      <x:c r="G46" s="29" t="str">
        <x:v>target_text_with_conflicting_doi | unsegmented_proceedings_container</x:v>
      </x:c>
      <x:c r="H46" s="30" t="str">
        <x:v>https://doi.org/10.1093/ijnp/pyae059.087</x:v>
      </x:c>
    </x:row>
    <x:row r="47" ht="250.8000030517578" hidden="0" customHeight="1">
      <x:c r="A47" s="28" t="str">
        <x:v>10.1093/ijnp/pyae059.125</x:v>
      </x:c>
      <x:c r="B47" s="29" t="str">
        <x:v>BEHAVIORAL AND ELECTROPHYSIOLOGICAL EFFECTS OF LYSERGIC ACID DIETHYLAMIDE (LSD) IN A MOUSE MODEL OF ALCOHOL USE DISORDER (AUD).</x:v>
      </x:c>
      <x:c r="C47" s="29" t="str">
        <x:v>journal-article</x:v>
      </x:c>
      <x:c r="D47" s="29" t="n">
        <x:v>0</x:v>
      </x:c>
      <x:c r="E47" s="29" t="str">
        <x:v>excluded_prescreen_no_artifact_repair</x:v>
      </x:c>
      <x:c r="F47" s="29" t="str">
        <x:v>canonical prescreen excludes this record</x:v>
      </x:c>
      <x:c r="G47" s="29" t="str">
        <x:v>unsegmented_proceedings_container</x:v>
      </x:c>
      <x:c r="H47" s="30" t="str">
        <x:v>https://doi.org/10.1093/ijnp/pyae059.125</x:v>
      </x:c>
    </x:row>
    <x:row r="48" ht="501.6000061035156" hidden="0" customHeight="1">
      <x:c r="A48" s="28" t="str">
        <x:v>10.1093/ijnp/pyae059.134</x:v>
      </x:c>
      <x:c r="B48" s="29" t="str">
        <x:v>PSILOCYBIN MITIGATES BEHAVIORAL DESPAIR AND COGNITIVE RECOGNITION IMPAIRMENTS BY REGULATING THE HYPOTHALAMIC- PITUITARY-ADRENAL (HPA) AXIS VIA THE BRAIN-DERIVED NEUROTROPHIC FACTOR (BDNF) SIGNALING PATHWAY MEDIATED BY THE ENDOCANNABINOID SYSTEM (ECS).</x:v>
      </x:c>
      <x:c r="C48" s="29" t="str">
        <x:v>journal-article</x:v>
      </x:c>
      <x:c r="D48" s="29" t="n">
        <x:v>0</x:v>
      </x:c>
      <x:c r="E48" s="29" t="str">
        <x:v>excluded_prescreen_no_artifact_repair</x:v>
      </x:c>
      <x:c r="F48" s="29" t="str">
        <x:v>canonical prescreen excludes this record</x:v>
      </x:c>
      <x:c r="G48" s="29" t="str">
        <x:v>unsegmented_proceedings_container</x:v>
      </x:c>
      <x:c r="H48" s="30" t="str">
        <x:v>https://doi.org/10.1093/ijnp/pyae059.134</x:v>
      </x:c>
    </x:row>
    <x:row r="49" ht="277.20001220703125" hidden="0" customHeight="1">
      <x:c r="A49" s="28" t="str">
        <x:v>10.1093/ijnp/pyae059.135</x:v>
      </x:c>
      <x:c r="B49" s="29" t="str">
        <x:v>ADIPONECTIN ELICITS RAPID-ANTIDEPRESSANT EFFECTS IN CHRONICALLY STRESSED MICE IN ASSOCIATION WITH INCREASED GLUTAMATERGIC ACTIVITY IN THE MPFC</x:v>
      </x:c>
      <x:c r="C49" s="29" t="str">
        <x:v>article</x:v>
      </x:c>
      <x:c r="D49" s="29" t="n">
        <x:v>0</x:v>
      </x:c>
      <x:c r="E49" s="29" t="str">
        <x:v>excluded_prescreen_no_artifact_repair</x:v>
      </x:c>
      <x:c r="F49" s="29" t="str">
        <x:v>canonical prescreen excludes this record</x:v>
      </x:c>
      <x:c r="G49" s="29" t="str">
        <x:v>target_text_with_conflicting_doi | unsegmented_proceedings_container</x:v>
      </x:c>
      <x:c r="H49" s="30" t="str">
        <x:v>https://doi.org/10.1093/ijnp/pyae059.135</x:v>
      </x:c>
    </x:row>
    <x:row r="50" ht="356.3999938964844" hidden="0" customHeight="1">
      <x:c r="A50" s="28" t="str">
        <x:v>10.1093/ijnp/pyae059.238</x:v>
      </x:c>
      <x:c r="B50" s="29" t="str">
        <x:v>ALTERED PATTERNS OF ASSOCIATION BETWEEN TSPO BINDING AND MGLUR5 AVAILABILITY IN VIVO IN DRUG-NAIVE PATIENTS WITH MAJOR DEPRESSIVE DISORDER: A PRELIMINARY DUAL-TRACER PET STUDY</x:v>
      </x:c>
      <x:c r="C50" s="29" t="str">
        <x:v>article</x:v>
      </x:c>
      <x:c r="D50" s="29" t="n">
        <x:v>0</x:v>
      </x:c>
      <x:c r="E50" s="29" t="str">
        <x:v>excluded_prescreen_no_artifact_repair</x:v>
      </x:c>
      <x:c r="F50" s="29" t="str">
        <x:v>canonical prescreen excludes this record</x:v>
      </x:c>
      <x:c r="G50" s="29" t="str">
        <x:v>target_text_with_conflicting_doi | unsegmented_proceedings_container</x:v>
      </x:c>
      <x:c r="H50" s="30" t="str">
        <x:v>https://doi.org/10.1093/ijnp/pyae059.238</x:v>
      </x:c>
    </x:row>
    <x:row r="51" ht="264" hidden="0" customHeight="1">
      <x:c r="A51" s="28" t="str">
        <x:v>10.1093/ijnp/pyae059.247</x:v>
      </x:c>
      <x:c r="B51" s="29" t="str">
        <x:v>CURRENT POST-TRAUMATIC STRESS-RELATED SYMPTOMS AND DEPRESSION OUTCOMES FROM REPETITIVE TRANSCRANIAL MAGNETIC STIMULATION IN CIVILIANS</x:v>
      </x:c>
      <x:c r="C51" s="29" t="str">
        <x:v>journal-article</x:v>
      </x:c>
      <x:c r="D51" s="29" t="n">
        <x:v>0</x:v>
      </x:c>
      <x:c r="E51" s="29" t="str">
        <x:v>excluded_prescreen_no_artifact_repair</x:v>
      </x:c>
      <x:c r="F51" s="29" t="str">
        <x:v>canonical prescreen excludes this record</x:v>
      </x:c>
      <x:c r="G51" s="29" t="str">
        <x:v>unsegmented_proceedings_container</x:v>
      </x:c>
      <x:c r="H51" s="30" t="str">
        <x:v>https://doi.org/10.1093/ijnp/pyae059.247</x:v>
      </x:c>
    </x:row>
    <x:row r="52" ht="171.60000610351562" hidden="0" customHeight="1">
      <x:c r="A52" s="28" t="str">
        <x:v>10.1093/ijnp/pyae059.262</x:v>
      </x:c>
      <x:c r="B52" s="29" t="str">
        <x:v>CONTRIBUTION OF 5-HT2AR TO THE ANTI-ANHEDONIC AND NEUROPLASTICITY EFFECTS OF PSYCHEDELICS.</x:v>
      </x:c>
      <x:c r="C52" s="29" t="str">
        <x:v>journal-article</x:v>
      </x:c>
      <x:c r="D52" s="29" t="n">
        <x:v>0</x:v>
      </x:c>
      <x:c r="E52" s="29" t="str">
        <x:v>excluded_prescreen_no_artifact_repair</x:v>
      </x:c>
      <x:c r="F52" s="29" t="str">
        <x:v>canonical prescreen excludes this record</x:v>
      </x:c>
      <x:c r="G52" s="29" t="str">
        <x:v>unsegmented_proceedings_container</x:v>
      </x:c>
      <x:c r="H52" s="30" t="str">
        <x:v>https://doi.org/10.1093/ijnp/pyae059.262</x:v>
      </x:c>
    </x:row>
    <x:row r="53" ht="171.60000610351562" hidden="0" customHeight="1">
      <x:c r="A53" s="28" t="str">
        <x:v>10.1093/ijnp/pyae059.305</x:v>
      </x:c>
      <x:c r="B53" s="29" t="str">
        <x:v>ARIPIPRAZOLE'S POTENTIAL ROLE IN SKIN CANCER: INVESTIGATING PYROPTOSIS AND IMMUNE PATHWAYS.</x:v>
      </x:c>
      <x:c r="C53" s="29" t="str">
        <x:v>journal-article</x:v>
      </x:c>
      <x:c r="D53" s="29" t="n">
        <x:v>0</x:v>
      </x:c>
      <x:c r="E53" s="29" t="str">
        <x:v>excluded_prescreen_no_artifact_repair</x:v>
      </x:c>
      <x:c r="F53" s="29" t="str">
        <x:v>canonical prescreen excludes this record</x:v>
      </x:c>
      <x:c r="G53" s="29" t="str">
        <x:v>unsegmented_proceedings_container</x:v>
      </x:c>
      <x:c r="H53" s="30" t="str">
        <x:v>https://doi.org/10.1093/ijnp/pyae059.305</x:v>
      </x:c>
    </x:row>
    <x:row r="54" ht="198" hidden="0" customHeight="1">
      <x:c r="A54" s="28" t="str">
        <x:v>10.1093/ijnp/pyae059.322</x:v>
      </x:c>
      <x:c r="B54" s="29" t="str">
        <x:v>PSYCHIATRIC SYMPTOM IN ANTI N-METHYL D-ASPARTATE RECEPTOR (NMDAR) ENCEPHALITIS, HOW TO ASSES?</x:v>
      </x:c>
      <x:c r="C54" s="29" t="str">
        <x:v>article</x:v>
      </x:c>
      <x:c r="D54" s="29" t="n">
        <x:v>0</x:v>
      </x:c>
      <x:c r="E54" s="29" t="str">
        <x:v>excluded_prescreen_no_artifact_repair</x:v>
      </x:c>
      <x:c r="F54" s="29" t="str">
        <x:v>canonical prescreen excludes this record</x:v>
      </x:c>
      <x:c r="G54" s="29" t="str">
        <x:v>target_text_with_conflicting_doi | unsegmented_proceedings_container</x:v>
      </x:c>
      <x:c r="H54" s="30" t="str">
        <x:v>https://doi.org/10.1093/ijnp/pyae059.322</x:v>
      </x:c>
    </x:row>
    <x:row r="55" ht="184.8000030517578" hidden="0" customHeight="1">
      <x:c r="A55" s="28" t="str">
        <x:v>10.1093/ijnp/pyae059.336</x:v>
      </x:c>
      <x:c r="B55" s="29" t="str">
        <x:v>PREVALENCE AND BURDEN OF ANHEDONIA IN KOREAN PATIENTS WITH MAJOR DEPRESSIVE DISORDER</x:v>
      </x:c>
      <x:c r="C55" s="29" t="str">
        <x:v>article</x:v>
      </x:c>
      <x:c r="D55" s="29" t="n">
        <x:v>0</x:v>
      </x:c>
      <x:c r="E55" s="29" t="str">
        <x:v>excluded_prescreen_no_artifact_repair</x:v>
      </x:c>
      <x:c r="F55" s="29" t="str">
        <x:v>canonical prescreen excludes this record</x:v>
      </x:c>
      <x:c r="G55" s="29" t="str">
        <x:v>target_text_with_conflicting_doi | unsegmented_proceedings_container</x:v>
      </x:c>
      <x:c r="H55" s="30" t="str">
        <x:v>https://doi.org/10.1093/ijnp/pyae059.336</x:v>
      </x:c>
    </x:row>
    <x:row r="56" ht="369.6000061035156" hidden="0" customHeight="1">
      <x:c r="A56" s="28" t="str">
        <x:v>10.1093/ijnp/pyae059.518</x:v>
      </x:c>
      <x:c r="B56" s="29" t="str">
        <x:v>N,N-DIMETHYLTRYPTAMINE, A NATURAL HALLUCINOGEN, AMELIORATES ALZHEIMER’ S DISEASE BY RESTORING NEURONAL SIGMA-1 RECEPTOR- MEDIATED ENDOPLASMIC RETICULUM-MITOCHONDRIA CROSSTALK.</x:v>
      </x:c>
      <x:c r="C56" s="29" t="str">
        <x:v>journal-article</x:v>
      </x:c>
      <x:c r="D56" s="29" t="n">
        <x:v>0</x:v>
      </x:c>
      <x:c r="E56" s="29" t="str">
        <x:v>excluded_prescreen_no_artifact_repair</x:v>
      </x:c>
      <x:c r="F56" s="29" t="str">
        <x:v>canonical prescreen excludes this record</x:v>
      </x:c>
      <x:c r="G56" s="29" t="str">
        <x:v>unsegmented_proceedings_container</x:v>
      </x:c>
      <x:c r="H56" s="30" t="str">
        <x:v>https://doi.org/10.1093/ijnp/pyae059.518</x:v>
      </x:c>
    </x:row>
    <x:row r="57" ht="409.20001220703125" hidden="0" customHeight="1">
      <x:c r="A57" s="28" t="str">
        <x:v>10.1093/ijnp/pyae059.561</x:v>
      </x:c>
      <x:c r="B57" s="29" t="str">
        <x:v>MODULATION OF THE ANTIDEPRESSANT RESPONSE OF KETAMINE BY AN IMMUNOSUPPRESSANT RAPAMYCIN: A PROSPECTIVE RANDOMIZED, DOUBLE-BLIND, PLACEBO CONTROLLED STUDY IN THE PATIENTS WITH REFRACTORY DEPRESSION.</x:v>
      </x:c>
      <x:c r="C57" s="29" t="str">
        <x:v>journal-article</x:v>
      </x:c>
      <x:c r="D57" s="29" t="n">
        <x:v>0</x:v>
      </x:c>
      <x:c r="E57" s="29" t="str">
        <x:v>excluded_prescreen_no_artifact_repair</x:v>
      </x:c>
      <x:c r="F57" s="29" t="str">
        <x:v>canonical prescreen excludes this record</x:v>
      </x:c>
      <x:c r="G57" s="29" t="str">
        <x:v>unsegmented_proceedings_container</x:v>
      </x:c>
      <x:c r="H57" s="30" t="str">
        <x:v>https://doi.org/10.1093/ijnp/pyae059.561</x:v>
      </x:c>
    </x:row>
    <x:row r="58" ht="343.20001220703125" hidden="0" customHeight="1">
      <x:c r="A58" s="28" t="str">
        <x:v>10.1093/ijnp/pyae059.567</x:v>
      </x:c>
      <x:c r="B58" s="29" t="str">
        <x:v>EFFICACY AND SAFETY OF INTRAVENOUS KETAMINE TREATMENT IN JAPANESE PATIENTS WITH TREATMENT-RESISTANT DEPRESSION: A DOUBLE-BLIND, RANDOMIZED, PLACEBO-CONTROLLED TRIAL</x:v>
      </x:c>
      <x:c r="C58" s="29" t="str">
        <x:v>article</x:v>
      </x:c>
      <x:c r="D58" s="29" t="n">
        <x:v>0</x:v>
      </x:c>
      <x:c r="E58" s="29" t="str">
        <x:v>excluded_prescreen_no_artifact_repair</x:v>
      </x:c>
      <x:c r="F58" s="29" t="str">
        <x:v>canonical prescreen excludes this record</x:v>
      </x:c>
      <x:c r="G58" s="29" t="str">
        <x:v>target_text_with_conflicting_doi | unsegmented_proceedings_container</x:v>
      </x:c>
      <x:c r="H58" s="30" t="str">
        <x:v>https://doi.org/10.1093/ijnp/pyae059.567</x:v>
      </x:c>
    </x:row>
    <x:row r="59" ht="290.3999938964844" hidden="0" customHeight="1">
      <x:c r="A59" s="28" t="str">
        <x:v>10.1093/ijnp/pyae059.583</x:v>
      </x:c>
      <x:c r="B59" s="29" t="str">
        <x:v>DIFFERENCE IN TREATMENT-RESPONSE OF IPSC-DERIVED NEURONS TO REELIN AND (2R,6R)-HNK FROM PARTICIPANTS WITH TREATMENT- RESISTANT DEPRESSION</x:v>
      </x:c>
      <x:c r="C59" s="29" t="str">
        <x:v>journal-article</x:v>
      </x:c>
      <x:c r="D59" s="29" t="n">
        <x:v>0</x:v>
      </x:c>
      <x:c r="E59" s="29" t="str">
        <x:v>excluded_prescreen_no_artifact_repair</x:v>
      </x:c>
      <x:c r="F59" s="29" t="str">
        <x:v>canonical prescreen excludes this record</x:v>
      </x:c>
      <x:c r="G59" s="29" t="str">
        <x:v>unsegmented_proceedings_container</x:v>
      </x:c>
      <x:c r="H59" s="30" t="str">
        <x:v>https://doi.org/10.1093/ijnp/pyae059.583</x:v>
      </x:c>
    </x:row>
    <x:row r="60" ht="382.79998779296875" hidden="0" customHeight="1">
      <x:c r="A60" s="28" t="str">
        <x:v>10.1093/ijnp/pyae059.605</x:v>
      </x:c>
      <x:c r="B60" s="29" t="str">
        <x:v>A PRELIMINARY EXAMINATION ON TREATMENT EFFECTIVENESS OF AUGMENTATION WITH ATTENTION DEFICIT HYPERACTIVITY DISORDER (ADHD) AGENTS IN PATIENTS WITH OBSESSIVE-COMPULSIVE DISORDER AND COMORBID ADHD</x:v>
      </x:c>
      <x:c r="C60" s="29" t="str">
        <x:v>journal-article</x:v>
      </x:c>
      <x:c r="D60" s="29" t="n">
        <x:v>0</x:v>
      </x:c>
      <x:c r="E60" s="29" t="str">
        <x:v>excluded_prescreen_no_artifact_repair</x:v>
      </x:c>
      <x:c r="F60" s="29" t="str">
        <x:v>canonical prescreen excludes this record</x:v>
      </x:c>
      <x:c r="G60" s="29" t="str">
        <x:v>unsegmented_proceedings_container</x:v>
      </x:c>
      <x:c r="H60" s="30" t="str">
        <x:v>https://doi.org/10.1093/ijnp/pyae059.605</x:v>
      </x:c>
    </x:row>
    <x:row r="61" ht="475.20001220703125" hidden="0" customHeight="1">
      <x:c r="A61" s="28" t="str">
        <x:v>10.1093/ijnp/pyae059.626</x:v>
      </x:c>
      <x:c r="B61" s="29" t="str">
        <x:v>REMARKABLE EFFICACY OF EVENAMIDE, A GLUTAMATE ANTAGONIST, AS AN ADD-ON TO ANTIPSYCHOTICS IN PATIENTS WITH TREATMENT RESISTANT SCHIZOPHRENIA (TRS): RESULTS FROM A ONE-YEAR, OPEN- LABEL, DOSE-COMPARATIVE, RANDOMIZED, TREATMENT TRIAL</x:v>
      </x:c>
      <x:c r="C61" s="29" t="str">
        <x:v>journal-article</x:v>
      </x:c>
      <x:c r="D61" s="29" t="n">
        <x:v>0</x:v>
      </x:c>
      <x:c r="E61" s="29" t="str">
        <x:v>excluded_prescreen_no_artifact_repair</x:v>
      </x:c>
      <x:c r="F61" s="29" t="str">
        <x:v>canonical prescreen excludes this record</x:v>
      </x:c>
      <x:c r="G61" s="29" t="str">
        <x:v>unsegmented_proceedings_container</x:v>
      </x:c>
      <x:c r="H61" s="30" t="str">
        <x:v>https://doi.org/10.1093/ijnp/pyae059.626</x:v>
      </x:c>
    </x:row>
    <x:row r="62" ht="303.6000061035156" hidden="0" customHeight="1">
      <x:c r="A62" s="28" t="str">
        <x:v>10.1093/ijnp/pyaf052.011</x:v>
      </x:c>
      <x:c r="B62" s="29" t="str">
        <x:v>169. THERAPEUTIC MEMORY RECONSOLIDATION AS A TREATMENT FOR SUBSTANCE USE DISORDERS AND HOW PSYCHEDELICS ARE FACILITATING THIS INTERVENTION: THE UNITY STUDY.</x:v>
      </x:c>
      <x:c r="C62" s="29" t="str">
        <x:v>journal-article</x:v>
      </x:c>
      <x:c r="D62" s="29" t="n">
        <x:v>0</x:v>
      </x:c>
      <x:c r="E62" s="29" t="str">
        <x:v>excluded_prescreen_no_artifact_repair</x:v>
      </x:c>
      <x:c r="F62" s="29" t="str">
        <x:v>canonical prescreen excludes this record</x:v>
      </x:c>
      <x:c r="G62" s="29" t="str">
        <x:v>unsegmented_proceedings_container</x:v>
      </x:c>
      <x:c r="H62" s="30" t="str">
        <x:v>https://doi.org/10.1093/ijnp/pyaf052.011</x:v>
      </x:c>
    </x:row>
    <x:row r="63" ht="250.8000030517578" hidden="0" customHeight="1">
      <x:c r="A63" s="28" t="str">
        <x:v>10.1093/ijnp/pyaf052.015</x:v>
      </x:c>
      <x:c r="B63" s="29" t="str">
        <x:v>182. ELUCIDATING NMDA RECEPTOR HYPOFUNCTION USING SIMULTANEOUS EEG-FMRI MEASURES OF KETAMINE-INDUCED NEURAL DYNAMICS</x:v>
      </x:c>
      <x:c r="C63" s="29" t="str">
        <x:v>journal-article</x:v>
      </x:c>
      <x:c r="D63" s="29" t="n">
        <x:v>0</x:v>
      </x:c>
      <x:c r="E63" s="29" t="str">
        <x:v>excluded_prescreen_no_artifact_repair</x:v>
      </x:c>
      <x:c r="F63" s="29" t="str">
        <x:v>canonical prescreen excludes this record</x:v>
      </x:c>
      <x:c r="G63" s="29" t="str">
        <x:v>unsegmented_proceedings_container</x:v>
      </x:c>
      <x:c r="H63" s="30" t="str">
        <x:v>https://doi.org/10.1093/ijnp/pyaf052.015</x:v>
      </x:c>
    </x:row>
    <x:row r="64" ht="184.8000030517578" hidden="0" customHeight="1">
      <x:c r="A64" s="28" t="str">
        <x:v>10.1093/ijnp/pyaf052.019</x:v>
      </x:c>
      <x:c r="B64" s="29" t="str">
        <x:v>204. A NOVEL, NON-HALLUCINOGENIC PSYCHEDELIC FOR THE TREATMENT OF OCD AND TIC DISORDER.</x:v>
      </x:c>
      <x:c r="C64" s="29" t="str">
        <x:v>journal-article</x:v>
      </x:c>
      <x:c r="D64" s="29" t="n">
        <x:v>0</x:v>
      </x:c>
      <x:c r="E64" s="29" t="str">
        <x:v>excluded_prescreen_no_artifact_repair</x:v>
      </x:c>
      <x:c r="F64" s="29" t="str">
        <x:v>canonical prescreen excludes this record</x:v>
      </x:c>
      <x:c r="G64" s="29" t="str">
        <x:v>unsegmented_proceedings_container</x:v>
      </x:c>
      <x:c r="H64" s="30" t="str">
        <x:v>https://doi.org/10.1093/ijnp/pyaf052.019</x:v>
      </x:c>
    </x:row>
    <x:row r="65" ht="211.1999969482422" hidden="0" customHeight="1">
      <x:c r="A65" s="28" t="str">
        <x:v>10.1093/ijnp/pyaf052.026</x:v>
      </x:c>
      <x:c r="B65" s="29" t="str">
        <x:v>229. PSILOCYBIN WITH PSYCHOTHERAPEUTIC SUPPORT FOR TREATMENT-RESISTANT DEPRESSION: A PILOT CLINICAL TRIAL.</x:v>
      </x:c>
      <x:c r="C65" s="29" t="str">
        <x:v>journal-article</x:v>
      </x:c>
      <x:c r="D65" s="29" t="n">
        <x:v>0</x:v>
      </x:c>
      <x:c r="E65" s="29" t="str">
        <x:v>excluded_prescreen_no_artifact_repair</x:v>
      </x:c>
      <x:c r="F65" s="29" t="str">
        <x:v>canonical prescreen excludes this record</x:v>
      </x:c>
      <x:c r="G65" s="29" t="str">
        <x:v>unsegmented_proceedings_container</x:v>
      </x:c>
      <x:c r="H65" s="30" t="str">
        <x:v>https://doi.org/10.1093/ijnp/pyaf052.026</x:v>
      </x:c>
    </x:row>
    <x:row r="66" ht="435.6000061035156" hidden="0" customHeight="1">
      <x:c r="A66" s="28" t="str">
        <x:v>10.1093/ijnp/pyaf052.032</x:v>
      </x:c>
      <x:c r="B66" s="29" t="str">
        <x:v>245. USING CLASSIFICATION AND REGRESSION TREE MODELLING TO INVESTIGATE LOW-DOSE KETAMINE’S EFFECT ON REMISSION OF SUICIDAL SYMPTOMS AMONG PATIENTS WITH TREATMENT-RESISTANT DEPRESSION AND STRONG SUICIDAL THOUGHT.</x:v>
      </x:c>
      <x:c r="C66" s="29" t="str">
        <x:v>journal-article</x:v>
      </x:c>
      <x:c r="D66" s="29" t="n">
        <x:v>0</x:v>
      </x:c>
      <x:c r="E66" s="29" t="str">
        <x:v>excluded_prescreen_no_artifact_repair</x:v>
      </x:c>
      <x:c r="F66" s="29" t="str">
        <x:v>canonical prescreen excludes this record</x:v>
      </x:c>
      <x:c r="G66" s="29" t="str">
        <x:v>unsegmented_proceedings_container</x:v>
      </x:c>
      <x:c r="H66" s="30" t="str">
        <x:v>https://doi.org/10.1093/ijnp/pyaf052.032</x:v>
      </x:c>
    </x:row>
    <x:row r="67" ht="171.60000610351562" hidden="0" customHeight="1">
      <x:c r="A67" s="28" t="str">
        <x:v>10.1093/ijnp/pyaf052.075</x:v>
      </x:c>
      <x:c r="B67" s="29" t="str">
        <x:v>476. ACUTE AND CHRONIC PSILOCYBIN IN MOUSE MODELS OF PSYCHIATRIC DISORDERS.</x:v>
      </x:c>
      <x:c r="C67" s="29" t="str">
        <x:v>journal-article</x:v>
      </x:c>
      <x:c r="D67" s="29" t="n">
        <x:v>0</x:v>
      </x:c>
      <x:c r="E67" s="29" t="str">
        <x:v>excluded_prescreen_no_artifact_repair</x:v>
      </x:c>
      <x:c r="F67" s="29" t="str">
        <x:v>canonical prescreen excludes this record</x:v>
      </x:c>
      <x:c r="G67" s="29" t="str">
        <x:v>unsegmented_proceedings_container</x:v>
      </x:c>
      <x:c r="H67" s="30" t="str">
        <x:v>https://doi.org/10.1093/ijnp/pyaf052.075</x:v>
      </x:c>
    </x:row>
    <x:row r="68" ht="303.6000061035156" hidden="0" customHeight="1">
      <x:c r="A68" s="28" t="str">
        <x:v>10.1093/ijnp/pyaf052.084</x:v>
      </x:c>
      <x:c r="B68" s="29" t="str">
        <x:v>519. PSILOCYBIN ASSISTED PSYCHOTHERAPY FOR OBSESSIVE COMPULSIVE DISORDER, BODY DYSMORPHIC DISORDER, AND ANOREXIA NERVOSA: STUDY PROTOCOL.</x:v>
      </x:c>
      <x:c r="C68" s="29" t="str">
        <x:v>journal-article</x:v>
      </x:c>
      <x:c r="D68" s="29" t="n">
        <x:v>0</x:v>
      </x:c>
      <x:c r="E68" s="29" t="str">
        <x:v>excluded_prescreen_no_artifact_repair</x:v>
      </x:c>
      <x:c r="F68" s="29" t="str">
        <x:v>canonical prescreen excludes this record</x:v>
      </x:c>
      <x:c r="G68" s="29" t="str">
        <x:v>unsegmented_proceedings_container</x:v>
      </x:c>
      <x:c r="H68" s="30" t="str">
        <x:v>https://doi.org/10.1093/ijnp/pyaf052.084</x:v>
      </x:c>
    </x:row>
    <x:row r="69" ht="264" hidden="0" customHeight="1">
      <x:c r="A69" s="28" t="str">
        <x:v>10.1093/ijnp/pyaf052.093</x:v>
      </x:c>
      <x:c r="B69" s="29" t="str">
        <x:v>631. PSILOCYBIN AND KETANSERIN VS RTMS IN TREATMENT-RESISTANT DEPRESSION: ENHANCING TOLERABILITY BY MITIGATING PSYCHEDELIC EFFECTS</x:v>
      </x:c>
      <x:c r="C69" s="29" t="str">
        <x:v>journal-article</x:v>
      </x:c>
      <x:c r="D69" s="29" t="n">
        <x:v>0</x:v>
      </x:c>
      <x:c r="E69" s="29" t="str">
        <x:v>excluded_prescreen_no_artifact_repair</x:v>
      </x:c>
      <x:c r="F69" s="29" t="str">
        <x:v>canonical prescreen excludes this record</x:v>
      </x:c>
      <x:c r="G69" s="29" t="str">
        <x:v>unsegmented_proceedings_container</x:v>
      </x:c>
      <x:c r="H69" s="30" t="str">
        <x:v>https://doi.org/10.1093/ijnp/pyaf052.093</x:v>
      </x:c>
    </x:row>
    <x:row r="70" ht="198" hidden="0" customHeight="1">
      <x:c r="A70" s="28" t="str">
        <x:v>10.1093/ijnp/pyaf052.111</x:v>
      </x:c>
      <x:c r="B70" s="29" t="str">
        <x:v>694. INVESTIGATING THE POTENTIAL OF PSILOCYBIN FOR COMPULSIVE EATING IN A RAT MODEL OF BINGE EATING.</x:v>
      </x:c>
      <x:c r="C70" s="29" t="str">
        <x:v>journal-article</x:v>
      </x:c>
      <x:c r="D70" s="29" t="n">
        <x:v>0</x:v>
      </x:c>
      <x:c r="E70" s="29" t="str">
        <x:v>excluded_prescreen_no_artifact_repair</x:v>
      </x:c>
      <x:c r="F70" s="29" t="str">
        <x:v>canonical prescreen excludes this record</x:v>
      </x:c>
      <x:c r="G70" s="29" t="str">
        <x:v>unsegmented_proceedings_container</x:v>
      </x:c>
      <x:c r="H70" s="30" t="str">
        <x:v>https://doi.org/10.1093/ijnp/pyaf052.111</x:v>
      </x:c>
    </x:row>
    <x:row r="71" ht="237.60000610351562" hidden="0" customHeight="1">
      <x:c r="A71" s="28" t="str">
        <x:v>10.1093/ijnp/pyaf052.124</x:v>
      </x:c>
      <x:c r="B71" s="29" t="str">
        <x:v>164. PSILOCYBIN DURING THE POSTPARTUM PERIOD INDUCES LONG-LASTING ADVERSE EFFECTS IN BOTH MOTHERS AND OFFSPRING</x:v>
      </x:c>
      <x:c r="C71" s="29" t="str">
        <x:v>journal-article</x:v>
      </x:c>
      <x:c r="D71" s="29" t="n">
        <x:v>0</x:v>
      </x:c>
      <x:c r="E71" s="29" t="str">
        <x:v>excluded_prescreen_no_artifact_repair</x:v>
      </x:c>
      <x:c r="F71" s="29" t="str">
        <x:v>canonical prescreen excludes this record</x:v>
      </x:c>
      <x:c r="G71" s="29" t="str">
        <x:v>unsegmented_proceedings_container</x:v>
      </x:c>
      <x:c r="H71" s="30" t="str">
        <x:v>https://doi.org/10.1093/ijnp/pyaf052.124</x:v>
      </x:c>
    </x:row>
    <x:row r="72" ht="250.8000030517578" hidden="0" customHeight="1">
      <x:c r="A72" s="28" t="str">
        <x:v>10.1093/ijnp/pyaf052.154</x:v>
      </x:c>
      <x:c r="B72" s="29" t="str">
        <x:v>620. IDENTIFICATION OF BLOOD BIOMARKERS OF PSILOCYBIN-ASSISTED THERAPY TREATMENT RESPONSE FOR GENERALISED ANXIETY DISORDER.</x:v>
      </x:c>
      <x:c r="C72" s="29" t="str">
        <x:v>journal-article</x:v>
      </x:c>
      <x:c r="D72" s="29" t="n">
        <x:v>0</x:v>
      </x:c>
      <x:c r="E72" s="29" t="str">
        <x:v>excluded_prescreen_no_artifact_repair</x:v>
      </x:c>
      <x:c r="F72" s="29" t="str">
        <x:v>canonical prescreen excludes this record</x:v>
      </x:c>
      <x:c r="G72" s="29" t="str">
        <x:v>unsegmented_proceedings_container</x:v>
      </x:c>
      <x:c r="H72" s="30" t="str">
        <x:v>https://doi.org/10.1093/ijnp/pyaf052.154</x:v>
      </x:c>
    </x:row>
    <x:row r="73" ht="118.80000305175781" hidden="0" customHeight="1">
      <x:c r="A73" s="28" t="str">
        <x:v>10.1093/ijnp/pyaf052.159</x:v>
      </x:c>
      <x:c r="B73" s="29" t="str">
        <x:v>670. CAN WE RE-MEDICALISE THE PSYCHEDELIC EXPERIENCE?</x:v>
      </x:c>
      <x:c r="C73" s="29" t="str">
        <x:v>journal-article</x:v>
      </x:c>
      <x:c r="D73" s="29" t="n">
        <x:v>0</x:v>
      </x:c>
      <x:c r="E73" s="29" t="str">
        <x:v>excluded_prescreen_no_artifact_repair</x:v>
      </x:c>
      <x:c r="F73" s="29" t="str">
        <x:v>canonical prescreen excludes this record</x:v>
      </x:c>
      <x:c r="G73" s="29" t="str">
        <x:v>unsegmented_proceedings_container</x:v>
      </x:c>
      <x:c r="H73" s="30" t="str">
        <x:v>https://doi.org/10.1093/ijnp/pyaf052.159</x:v>
      </x:c>
    </x:row>
    <x:row r="74" ht="250.8000030517578" hidden="0" customHeight="1">
      <x:c r="A74" s="28" t="str">
        <x:v>10.1093/ijnp/pyaf052.163</x:v>
      </x:c>
      <x:c r="B74" s="29" t="str">
        <x:v>97. NEURAL AND BEHAVIORAL EVIDENCE FROM REINFORCEMENT LEARNING CONVERGE IN SUPPORT OF RELAXED BELIEFS UNDER LSD</x:v>
      </x:c>
      <x:c r="C74" s="29" t="str">
        <x:v>journal-article</x:v>
      </x:c>
      <x:c r="D74" s="29" t="n">
        <x:v>0</x:v>
      </x:c>
      <x:c r="E74" s="29" t="str">
        <x:v>excluded_prescreen_no_artifact_repair</x:v>
      </x:c>
      <x:c r="F74" s="29" t="str">
        <x:v>canonical prescreen excludes this record</x:v>
      </x:c>
      <x:c r="G74" s="29" t="str">
        <x:v>unsegmented_proceedings_container</x:v>
      </x:c>
      <x:c r="H74" s="30" t="str">
        <x:v>https://doi.org/10.1093/ijnp/pyaf052.163</x:v>
      </x:c>
    </x:row>
    <x:row r="75" ht="356.3999938964844" hidden="0" customHeight="1">
      <x:c r="A75" s="28" t="str">
        <x:v>10.1093/ijnp/pyaf052.166</x:v>
      </x:c>
      <x:c r="B75" s="29" t="str">
        <x:v>155. EXPLORING LSD MICRODOSING IN AN OPEN-LABEL PILOT FOR MAJOR DEPRESSIVE DISORDER: THE INTERPLAY OF BEHAVIORAL ACTIVATION, MOOD IMPROVEMENT, AND CONNECTEDNESS.</x:v>
      </x:c>
      <x:c r="C75" s="29" t="str">
        <x:v>journal-article</x:v>
      </x:c>
      <x:c r="D75" s="29" t="n">
        <x:v>0</x:v>
      </x:c>
      <x:c r="E75" s="29" t="str">
        <x:v>excluded_prescreen_no_artifact_repair</x:v>
      </x:c>
      <x:c r="F75" s="29" t="str">
        <x:v>canonical prescreen excludes this record</x:v>
      </x:c>
      <x:c r="G75" s="29" t="str">
        <x:v>unsegmented_proceedings_container</x:v>
      </x:c>
      <x:c r="H75" s="30" t="str">
        <x:v>https://doi.org/10.1093/ijnp/pyaf052.166</x:v>
      </x:c>
    </x:row>
    <x:row r="76" ht="264" hidden="0" customHeight="1">
      <x:c r="A76" s="28" t="str">
        <x:v>10.1093/ijnp/pyaf052.175</x:v>
      </x:c>
      <x:c r="B76" s="29" t="str">
        <x:v>189. EXPLORING THE SUBJECTIVE EXPERIENCE OF PATIENTS WITH TREATMENT-RESISTANT DEPRESSION ON THE EFFECTS OF ESKETAMINE NASAL SPRAY.</x:v>
      </x:c>
      <x:c r="C76" s="29" t="str">
        <x:v>journal-article</x:v>
      </x:c>
      <x:c r="D76" s="29" t="n">
        <x:v>0</x:v>
      </x:c>
      <x:c r="E76" s="29" t="str">
        <x:v>excluded_prescreen_no_artifact_repair</x:v>
      </x:c>
      <x:c r="F76" s="29" t="str">
        <x:v>canonical prescreen excludes this record</x:v>
      </x:c>
      <x:c r="G76" s="29" t="str">
        <x:v>unsegmented_proceedings_container</x:v>
      </x:c>
      <x:c r="H76" s="30" t="str">
        <x:v>https://doi.org/10.1093/ijnp/pyaf052.175</x:v>
      </x:c>
    </x:row>
    <x:row r="77" ht="303.6000061035156" hidden="0" customHeight="1">
      <x:c r="A77" s="28" t="str">
        <x:v>10.1093/ijnp/pyaf052.202</x:v>
      </x:c>
      <x:c r="B77" s="29" t="str">
        <x:v>247. DOES EXCITATORY/INHIBITORY BALANCE PREDICT KETAMINE RESPONSE IN TREATMENT-RESISTANT DEPRESSION? A DOUBLE-BLIND RANDOMIZED CONTROLLED TRIAL WITH 1H-MRS</x:v>
      </x:c>
      <x:c r="C77" s="29" t="str">
        <x:v>journal-article</x:v>
      </x:c>
      <x:c r="D77" s="29" t="n">
        <x:v>0</x:v>
      </x:c>
      <x:c r="E77" s="29" t="str">
        <x:v>excluded_prescreen_no_artifact_repair</x:v>
      </x:c>
      <x:c r="F77" s="29" t="str">
        <x:v>canonical prescreen excludes this record</x:v>
      </x:c>
      <x:c r="G77" s="29" t="str">
        <x:v>unsegmented_proceedings_container</x:v>
      </x:c>
      <x:c r="H77" s="30" t="str">
        <x:v>https://doi.org/10.1093/ijnp/pyaf052.202</x:v>
      </x:c>
    </x:row>
    <x:row r="78" ht="211.1999969482422" hidden="0" customHeight="1">
      <x:c r="A78" s="28" t="str">
        <x:v>10.1093/ijnp/pyaf052.234</x:v>
      </x:c>
      <x:c r="B78" s="29" t="str">
        <x:v>327. 5-HT2B RECEPTORS MODULATE THE ANTIDEPRESSANT-LIKE RESPONSE OF THE PSYCHEDELIC LSD IN RAT BUT NOT IN MICE.</x:v>
      </x:c>
      <x:c r="C78" s="29" t="str">
        <x:v>journal-article</x:v>
      </x:c>
      <x:c r="D78" s="29" t="n">
        <x:v>0</x:v>
      </x:c>
      <x:c r="E78" s="29" t="str">
        <x:v>excluded_prescreen_no_artifact_repair</x:v>
      </x:c>
      <x:c r="F78" s="29" t="str">
        <x:v>canonical prescreen excludes this record</x:v>
      </x:c>
      <x:c r="G78" s="29" t="str">
        <x:v>unsegmented_proceedings_container</x:v>
      </x:c>
      <x:c r="H78" s="30" t="str">
        <x:v>https://doi.org/10.1093/ijnp/pyaf052.234</x:v>
      </x:c>
    </x:row>
    <x:row r="79" ht="356.3999938964844" hidden="0" customHeight="1">
      <x:c r="A79" s="28" t="str">
        <x:v>10.1093/ijnp/pyaf052.265</x:v>
      </x:c>
      <x:c r="B79" s="29" t="str">
        <x:v>413. CLINICAL EXPERIENCES WITH ESKETAMINE TREATMENT AT THE DEPARTMENT OF PSYCHIATRY AND PSYCHOLOGICAL MEDICINE, UNIVERSITY HOSPITAL CENTRE ZAGREB, DURING THE PERIOD FROM 2022 TO 2024.</x:v>
      </x:c>
      <x:c r="C79" s="29" t="str">
        <x:v>journal-article</x:v>
      </x:c>
      <x:c r="D79" s="29" t="n">
        <x:v>0</x:v>
      </x:c>
      <x:c r="E79" s="29" t="str">
        <x:v>excluded_prescreen_no_artifact_repair</x:v>
      </x:c>
      <x:c r="F79" s="29" t="str">
        <x:v>canonical prescreen excludes this record</x:v>
      </x:c>
      <x:c r="G79" s="29" t="str">
        <x:v>unsegmented_proceedings_container</x:v>
      </x:c>
      <x:c r="H79" s="30" t="str">
        <x:v>https://doi.org/10.1093/ijnp/pyaf052.265</x:v>
      </x:c>
    </x:row>
    <x:row r="80" ht="316.79998779296875" hidden="0" customHeight="1">
      <x:c r="A80" s="28" t="str">
        <x:v>10.1093/ijnp/pyaf052.304</x:v>
      </x:c>
      <x:c r="B80" s="29" t="str">
        <x:v>520. INCREASE OF THE AMPA-EVOKED RESPONSE IN PREFRONTAL CORTEX PYRAMIDAL NEURONS FOLLOWING ACUTE ADMINISTRATION OF KETAMINE AND S-KETAMINE IN RATS.</x:v>
      </x:c>
      <x:c r="C80" s="29" t="str">
        <x:v>journal-article</x:v>
      </x:c>
      <x:c r="D80" s="29" t="n">
        <x:v>0</x:v>
      </x:c>
      <x:c r="E80" s="29" t="str">
        <x:v>excluded_prescreen_no_artifact_repair</x:v>
      </x:c>
      <x:c r="F80" s="29" t="str">
        <x:v>canonical prescreen excludes this record</x:v>
      </x:c>
      <x:c r="G80" s="29" t="str">
        <x:v>unsegmented_proceedings_container</x:v>
      </x:c>
      <x:c r="H80" s="30" t="str">
        <x:v>https://doi.org/10.1093/ijnp/pyaf052.304</x:v>
      </x:c>
    </x:row>
    <x:row r="81" ht="277.20001220703125" hidden="0" customHeight="1">
      <x:c r="A81" s="28" t="str">
        <x:v>10.1093/ijnp/pyaf052.363</x:v>
      </x:c>
      <x:c r="B81" s="29" t="str">
        <x:v>544. MOLECULAR AND CELLULAR MECHANISMS OF THE LONG-LASTING EFFECTS OF PSYCHEDELICS AND THEIR NON-HALLUCINOGENIC DERIVATIVES.</x:v>
      </x:c>
      <x:c r="C81" s="29" t="str">
        <x:v>journal-article</x:v>
      </x:c>
      <x:c r="D81" s="29" t="n">
        <x:v>0</x:v>
      </x:c>
      <x:c r="E81" s="29" t="str">
        <x:v>excluded_prescreen_no_artifact_repair</x:v>
      </x:c>
      <x:c r="F81" s="29" t="str">
        <x:v>canonical prescreen excludes this record</x:v>
      </x:c>
      <x:c r="G81" s="29" t="str">
        <x:v>unsegmented_proceedings_container</x:v>
      </x:c>
      <x:c r="H81" s="30" t="str">
        <x:v>https://doi.org/10.1093/ijnp/pyaf052.363</x:v>
      </x:c>
    </x:row>
    <x:row r="82" ht="105.5999984741211" hidden="0" customHeight="1">
      <x:c r="A82" s="28" t="str">
        <x:v>10.1093/ijnp/pyaf052.368</x:v>
      </x:c>
      <x:c r="B82" s="29" t="str">
        <x:v>551. PSYCHEDELICS AND OCD: TRANSLATIONAL APPROACHES.</x:v>
      </x:c>
      <x:c r="C82" s="29" t="str">
        <x:v>journal-article</x:v>
      </x:c>
      <x:c r="D82" s="29" t="n">
        <x:v>0</x:v>
      </x:c>
      <x:c r="E82" s="29" t="str">
        <x:v>excluded_prescreen_no_artifact_repair</x:v>
      </x:c>
      <x:c r="F82" s="29" t="str">
        <x:v>canonical prescreen excludes this record</x:v>
      </x:c>
      <x:c r="G82" s="29" t="str">
        <x:v>unsegmented_proceedings_container</x:v>
      </x:c>
      <x:c r="H82" s="30" t="str">
        <x:v>https://doi.org/10.1093/ijnp/pyaf052.368</x:v>
      </x:c>
    </x:row>
    <x:row r="83" ht="237.60000610351562" hidden="0" customHeight="1">
      <x:c r="A83" s="28" t="str">
        <x:v>10.1093/ijnp/pyaf052.372</x:v>
      </x:c>
      <x:c r="B83" s="29" t="str">
        <x:v>564. TOWARD AN UNDERSTANDING OF THE THERAPEUTICALLY RELEVANT MECHANISMS OF PSILOCYBIN FOR ANOREXIA NERVOSA.</x:v>
      </x:c>
      <x:c r="C83" s="29" t="str">
        <x:v>journal-article</x:v>
      </x:c>
      <x:c r="D83" s="29" t="n">
        <x:v>0</x:v>
      </x:c>
      <x:c r="E83" s="29" t="str">
        <x:v>excluded_prescreen_no_artifact_repair</x:v>
      </x:c>
      <x:c r="F83" s="29" t="str">
        <x:v>canonical prescreen excludes this record</x:v>
      </x:c>
      <x:c r="G83" s="29" t="str">
        <x:v>unsegmented_proceedings_container</x:v>
      </x:c>
      <x:c r="H83" s="30" t="str">
        <x:v>https://doi.org/10.1093/ijnp/pyaf052.372</x:v>
      </x:c>
    </x:row>
    <x:row r="84" ht="158.39999389648438" hidden="0" customHeight="1">
      <x:c r="A84" s="28" t="str">
        <x:v>10.1093/ijnp/pyaf052.377</x:v>
      </x:c>
      <x:c r="B84" s="29" t="str">
        <x:v>577. CLINICAL EVIDENCE AND APPLICATIONS OF PSYCHEDELICS FOR MENTAL ILLNESSES.</x:v>
      </x:c>
      <x:c r="C84" s="29" t="str">
        <x:v>journal-article</x:v>
      </x:c>
      <x:c r="D84" s="29" t="n">
        <x:v>0</x:v>
      </x:c>
      <x:c r="E84" s="29" t="str">
        <x:v>excluded_prescreen_no_artifact_repair</x:v>
      </x:c>
      <x:c r="F84" s="29" t="str">
        <x:v>canonical prescreen excludes this record</x:v>
      </x:c>
      <x:c r="G84" s="29" t="str">
        <x:v>unsegmented_proceedings_container</x:v>
      </x:c>
      <x:c r="H84" s="30" t="str">
        <x:v>https://doi.org/10.1093/ijnp/pyaf052.377</x:v>
      </x:c>
    </x:row>
    <x:row r="85" ht="184.8000030517578" hidden="0" customHeight="1">
      <x:c r="A85" s="28" t="str">
        <x:v>10.1093/ijnp/pyaf052.395</x:v>
      </x:c>
      <x:c r="B85" s="29" t="str">
        <x:v>651. DISCOVERY OF OMICS-BIOMARKERS OF KETAMINE FOR TREATMENT RESPONSE IN DEPRESSION</x:v>
      </x:c>
      <x:c r="C85" s="29" t="str">
        <x:v>journal-article</x:v>
      </x:c>
      <x:c r="D85" s="29" t="n">
        <x:v>0</x:v>
      </x:c>
      <x:c r="E85" s="29" t="str">
        <x:v>excluded_prescreen_no_artifact_repair</x:v>
      </x:c>
      <x:c r="F85" s="29" t="str">
        <x:v>canonical prescreen excludes this record</x:v>
      </x:c>
      <x:c r="G85" s="29" t="str">
        <x:v>unsegmented_proceedings_container</x:v>
      </x:c>
      <x:c r="H85" s="30" t="str">
        <x:v>https://doi.org/10.1093/ijnp/pyaf052.395</x:v>
      </x:c>
    </x:row>
    <x:row r="86" ht="132" hidden="0" customHeight="1">
      <x:c r="A86" s="28" t="str">
        <x:v>10.1093/ijnp/pyaf052.397</x:v>
      </x:c>
      <x:c r="B86" s="29" t="str">
        <x:v>655. EXPANDING ACCESS TO KETAMINE THROUGH REFORMULATION</x:v>
      </x:c>
      <x:c r="C86" s="29" t="str">
        <x:v>journal-article</x:v>
      </x:c>
      <x:c r="D86" s="29" t="n">
        <x:v>0</x:v>
      </x:c>
      <x:c r="E86" s="29" t="str">
        <x:v>excluded_prescreen_no_artifact_repair</x:v>
      </x:c>
      <x:c r="F86" s="29" t="str">
        <x:v>canonical prescreen excludes this record</x:v>
      </x:c>
      <x:c r="G86" s="29" t="str">
        <x:v>unsegmented_proceedings_container</x:v>
      </x:c>
      <x:c r="H86" s="30" t="str">
        <x:v>https://doi.org/10.1093/ijnp/pyaf052.397</x:v>
      </x:c>
    </x:row>
    <x:row r="87" ht="237.60000610351562" hidden="0" customHeight="1">
      <x:c r="A87" s="28" t="str">
        <x:v>10.1093/ijnp/pyaf052.399</x:v>
      </x:c>
      <x:c r="B87" s="29" t="str">
        <x:v>657. ECONOMIC EVALUATIONS OF EMERGING PHARMACOLOGICAL THERAPIES FOR TREATMENT RESISTANT DEPRESSION.</x:v>
      </x:c>
      <x:c r="C87" s="29" t="str">
        <x:v>journal-article</x:v>
      </x:c>
      <x:c r="D87" s="29" t="n">
        <x:v>0</x:v>
      </x:c>
      <x:c r="E87" s="29" t="str">
        <x:v>excluded_prescreen_no_artifact_repair</x:v>
      </x:c>
      <x:c r="F87" s="29" t="str">
        <x:v>canonical prescreen excludes this record</x:v>
      </x:c>
      <x:c r="G87" s="29" t="str">
        <x:v>unsegmented_proceedings_container</x:v>
      </x:c>
      <x:c r="H87" s="30" t="str">
        <x:v>https://doi.org/10.1093/ijnp/pyaf052.399</x:v>
      </x:c>
    </x:row>
    <x:row r="88" ht="277.20001220703125" hidden="0" customHeight="1">
      <x:c r="A88" s="28" t="str">
        <x:v>10.1093/ijnp/pyaf052.401</x:v>
      </x:c>
      <x:c r="B88" s="29" t="str">
        <x:v>661. A SINGLE DOSE OF LYSERGIC ACID DIETHYLAMIDE (LSD) REDUCES ALCOHOL CONSUMPTION AND REVERTS DOPAMINERGIC (DA) DISFUNCTION IN MALE MICE.</x:v>
      </x:c>
      <x:c r="C88" s="29" t="str">
        <x:v>journal-article</x:v>
      </x:c>
      <x:c r="D88" s="29" t="n">
        <x:v>0</x:v>
      </x:c>
      <x:c r="E88" s="29" t="str">
        <x:v>excluded_prescreen_no_artifact_repair</x:v>
      </x:c>
      <x:c r="F88" s="29" t="str">
        <x:v>canonical prescreen excludes this record</x:v>
      </x:c>
      <x:c r="G88" s="29" t="str">
        <x:v>unsegmented_proceedings_container</x:v>
      </x:c>
      <x:c r="H88" s="30" t="str">
        <x:v>https://doi.org/10.1093/ijnp/pyaf052.401</x:v>
      </x:c>
    </x:row>
    <x:row r="89" ht="211.1999969482422" hidden="0" customHeight="1">
      <x:c r="A89" s="28" t="str">
        <x:v>10.1093/ijnp/pyw041.503</x:v>
      </x:c>
      <x:c r="B89" s="29" t="str">
        <x:v>PM503. Spatial components of magnetic mismatch negativity and the cortical thickness of its structural correlates in schizophrenia</x:v>
      </x:c>
      <x:c r="C89" s="29" t="str">
        <x:v>article</x:v>
      </x:c>
      <x:c r="D89" s="29" t="n">
        <x:v>0</x:v>
      </x:c>
      <x:c r="E89" s="29" t="str">
        <x:v>excluded_prescreen_no_artifact_repair</x:v>
      </x:c>
      <x:c r="F89" s="29" t="str">
        <x:v>canonical prescreen excludes this record</x:v>
      </x:c>
      <x:c r="G89" s="29" t="str">
        <x:v>unsegmented_proceedings_container</x:v>
      </x:c>
      <x:c r="H89" s="30" t="str">
        <x:v>https://doi.org/10.1093/ijnp/pyw041.503</x:v>
      </x:c>
    </x:row>
    <x:row r="90" ht="145.1999969482422" hidden="0" customHeight="1">
      <x:c r="A90" s="28" t="str">
        <x:v>10.1093/ijnp/pyw041.504</x:v>
      </x:c>
      <x:c r="B90" s="29" t="str">
        <x:v>PM504. Theory of Mind in Clinical high risk as trait marker of conversion to psychosis: review</x:v>
      </x:c>
      <x:c r="C90" s="29" t="str">
        <x:v>article</x:v>
      </x:c>
      <x:c r="D90" s="29" t="n">
        <x:v>0</x:v>
      </x:c>
      <x:c r="E90" s="29" t="str">
        <x:v>excluded_prescreen_no_artifact_repair</x:v>
      </x:c>
      <x:c r="F90" s="29" t="str">
        <x:v>canonical prescreen excludes this record</x:v>
      </x:c>
      <x:c r="G90" s="29" t="str">
        <x:v>unsegmented_proceedings_container</x:v>
      </x:c>
      <x:c r="H90" s="30" t="str">
        <x:v>https://doi.org/10.1093/ijnp/pyw041.504</x:v>
      </x:c>
    </x:row>
    <x:row r="91" ht="79.19999694824219" hidden="0" customHeight="1">
      <x:c r="A91" s="28" t="str">
        <x:v>10.1093/ijnp/pyw042.062</x:v>
      </x:c>
      <x:c r="B91" s="29" t="str">
        <x:v>Speaker 1: Barbara Sahakian, UK</x:v>
      </x:c>
      <x:c r="C91" s="29" t="str">
        <x:v>article</x:v>
      </x:c>
      <x:c r="D91" s="29" t="n">
        <x:v>0</x:v>
      </x:c>
      <x:c r="E91" s="29" t="str">
        <x:v>excluded_prescreen_no_artifact_repair</x:v>
      </x:c>
      <x:c r="F91" s="29" t="str">
        <x:v>canonical prescreen excludes this record</x:v>
      </x:c>
      <x:c r="G91" s="29" t="str">
        <x:v>identity_unverified | unsegmented_proceedings_container</x:v>
      </x:c>
      <x:c r="H91" s="30" t="str">
        <x:v>https://doi.org/10.1093/ijnp/pyw042.062</x:v>
      </x:c>
    </x:row>
    <x:row r="92" ht="198" hidden="0" customHeight="1">
      <x:c r="A92" s="28" t="str">
        <x:v>10.1093/ijnp/pyw043.101</x:v>
      </x:c>
      <x:c r="B92" s="29" t="str">
        <x:v>PS101. Oral Ketamine for Treatment Resistant Major Depression – A double blind randomized controlled trial</x:v>
      </x:c>
      <x:c r="C92" s="29" t="str">
        <x:v>article</x:v>
      </x:c>
      <x:c r="D92" s="29" t="n">
        <x:v>0</x:v>
      </x:c>
      <x:c r="E92" s="29" t="str">
        <x:v>excluded_prescreen_no_artifact_repair</x:v>
      </x:c>
      <x:c r="F92" s="29" t="str">
        <x:v>canonical prescreen excludes this record</x:v>
      </x:c>
      <x:c r="G92" s="29" t="str">
        <x:v>unsegmented_proceedings_container</x:v>
      </x:c>
      <x:c r="H92" s="30" t="str">
        <x:v>https://doi.org/10.1093/ijnp/pyw043.101</x:v>
      </x:c>
    </x:row>
    <x:row r="93" ht="132" hidden="0" customHeight="1">
      <x:c r="A93" s="28" t="str">
        <x:v>10.1093/ijnp/pyw043.142</x:v>
      </x:c>
      <x:c r="B93" s="29" t="str">
        <x:v>PS142. Ketamine is effective in an animal model of treatment resistant depression</x:v>
      </x:c>
      <x:c r="C93" s="29" t="str">
        <x:v>article</x:v>
      </x:c>
      <x:c r="D93" s="29" t="n">
        <x:v>0</x:v>
      </x:c>
      <x:c r="E93" s="29" t="str">
        <x:v>excluded_prescreen_no_artifact_repair</x:v>
      </x:c>
      <x:c r="F93" s="29" t="str">
        <x:v>canonical prescreen excludes this record</x:v>
      </x:c>
      <x:c r="G93" s="29" t="str">
        <x:v>unsegmented_proceedings_container</x:v>
      </x:c>
      <x:c r="H93" s="30" t="str">
        <x:v>https://doi.org/10.1093/ijnp/pyw043.142</x:v>
      </x:c>
    </x:row>
    <x:row r="94" ht="250.8000030517578" hidden="0" customHeight="1">
      <x:c r="A94" s="28" t="str">
        <x:v>10.1093/schbul/sby015.230</x:v>
      </x:c>
      <x:c r="B94" s="29" t="str">
        <x:v>O7.1. MIDBRAIN DOPAMINE NEURON ACTIVITY CONTROLS THE EFFECTS OF REPEATED KETAMINE ON STRIATAL DOPAMINERGIC FUNCTION.</x:v>
      </x:c>
      <x:c r="C94" s="29" t="str">
        <x:v>journal-article</x:v>
      </x:c>
      <x:c r="D94" s="29" t="n">
        <x:v>0</x:v>
      </x:c>
      <x:c r="E94" s="29" t="str">
        <x:v>excluded_prescreen_no_artifact_repair</x:v>
      </x:c>
      <x:c r="F94" s="29" t="str">
        <x:v>canonical prescreen excludes this record</x:v>
      </x:c>
      <x:c r="G94" s="29" t="str">
        <x:v>unsegmented_proceedings_container</x:v>
      </x:c>
      <x:c r="H94" s="30" t="str">
        <x:v>https://doi.org/10.1093/schbul/sby015.230</x:v>
      </x:c>
    </x:row>
    <x:row r="95" ht="290.3999938964844" hidden="0" customHeight="1">
      <x:c r="A95" s="28" t="str">
        <x:v>10.1093/schbul/sby017.688</x:v>
      </x:c>
      <x:c r="B95" s="29" t="str">
        <x:v>F157. HIERARCHICAL PREDICTION ERRORS DURING AUDITORY MISMATCH UNDER PHARMACOLOGICAL MANIPULATIONS: A COMPUTATIONAL SINGLE-TRIAL EEG ANALYSIS.</x:v>
      </x:c>
      <x:c r="C95" s="29" t="str">
        <x:v>journal-article</x:v>
      </x:c>
      <x:c r="D95" s="29" t="n">
        <x:v>0</x:v>
      </x:c>
      <x:c r="E95" s="29" t="str">
        <x:v>excluded_prescreen_no_artifact_repair</x:v>
      </x:c>
      <x:c r="F95" s="29" t="str">
        <x:v>canonical prescreen excludes this record</x:v>
      </x:c>
      <x:c r="G95" s="29" t="str">
        <x:v>unsegmented_proceedings_container</x:v>
      </x:c>
      <x:c r="H95" s="30" t="str">
        <x:v>https://doi.org/10.1093/schbul/sby017.688</x:v>
      </x:c>
    </x:row>
    <x:row r="96" ht="158.39999389648438" hidden="0" customHeight="1">
      <x:c r="A96" s="28" t="str">
        <x:v>10.1093/sleep/zsaf090.0414</x:v>
      </x:c>
      <x:c r="B96" s="29" t="str">
        <x:v>0414 The Interaction of Historical Psychedelic Use and Time Spent in Bed on Sleep Architecture</x:v>
      </x:c>
      <x:c r="C96" s="29" t="str">
        <x:v>article</x:v>
      </x:c>
      <x:c r="D96" s="29" t="n">
        <x:v>0</x:v>
      </x:c>
      <x:c r="E96" s="29" t="str">
        <x:v>excluded_prescreen_no_artifact_repair</x:v>
      </x:c>
      <x:c r="F96" s="29" t="str">
        <x:v>canonical prescreen excludes this record</x:v>
      </x:c>
      <x:c r="G96" s="29" t="str">
        <x:v>identity_unverified | unsegmented_proceedings_container</x:v>
      </x:c>
      <x:c r="H96" s="30" t="str">
        <x:v>https://doi.org/10.1093/sleep/zsaf090.0414</x:v>
      </x:c>
    </x:row>
    <x:row r="97" ht="396" hidden="0" customHeight="1">
      <x:c r="A97" s="28" t="str">
        <x:v>10.1097/aap.0000000000000806</x:v>
      </x:c>
      <x:c r="B97" s="29" t="str">
        <x:v>Consensus Guidelines on the Use of Intravenous Ketamine Infusions for Acute Pain Management From the American Society of Regional Anesthesia and Pain Medicine, the American Academy of Pain Medicine, and the American Society of Anesthesiologists</x:v>
      </x:c>
      <x:c r="C97" s="29" t="str">
        <x:v>guideline</x:v>
      </x:c>
      <x:c r="D97" s="29" t="n">
        <x:v>0</x:v>
      </x:c>
      <x:c r="E97" s="29" t="str">
        <x:v>not_retained_no_artifact_repair</x:v>
      </x:c>
      <x:c r="F97" s="29" t="str">
        <x:v>record is not currently retained after downstream screening/routing</x:v>
      </x:c>
      <x:c r="G97" s="29" t="str">
        <x:v>target_text_with_conflicting_doi</x:v>
      </x:c>
      <x:c r="H97" s="30" t="str">
        <x:v>https://doi.org/10.1097/aap.0000000000000806</x:v>
      </x:c>
    </x:row>
    <x:row r="98" ht="264" hidden="0" customHeight="1">
      <x:c r="A98" s="28" t="str">
        <x:v>10.1111/bph.13919</x:v>
      </x:c>
      <x:c r="B98" s="29" t="str">
        <x:v>Glutamatergic regulation of cognition and functional brain connectivity: insights from pharmacological, genetic and translational schizophrenia research</x:v>
      </x:c>
      <x:c r="C98" s="29" t="str">
        <x:v>review</x:v>
      </x:c>
      <x:c r="D98" s="29" t="n">
        <x:v>0</x:v>
      </x:c>
      <x:c r="E98" s="29" t="str">
        <x:v>excluded_prescreen_no_artifact_repair</x:v>
      </x:c>
      <x:c r="F98" s="29" t="str">
        <x:v>canonical prescreen excludes this record</x:v>
      </x:c>
      <x:c r="G98" s="29" t="str">
        <x:v>identity_unverified</x:v>
      </x:c>
      <x:c r="H98" s="30" t="str">
        <x:v>https://doi.org/10.1111/bph.13919</x:v>
      </x:c>
    </x:row>
    <x:row r="99" ht="224.39999389648438" hidden="0" customHeight="1">
      <x:c r="A99" s="28" t="str">
        <x:v>10.1128/mbio.01697-24</x:v>
      </x:c>
      <x:c r="B99" s="29" t="str">
        <x:v>Identification of HRH1 as an alternative receptor for SARS-CoV-2: insights from viral inhibition by repurposable antihistamines</x:v>
      </x:c>
      <x:c r="C99" s="29" t="str">
        <x:v>letter</x:v>
      </x:c>
      <x:c r="D99" s="29" t="n">
        <x:v>0</x:v>
      </x:c>
      <x:c r="E99" s="29" t="str">
        <x:v>excluded_prescreen_no_artifact_repair</x:v>
      </x:c>
      <x:c r="F99" s="29" t="str">
        <x:v>canonical prescreen excludes this record</x:v>
      </x:c>
      <x:c r="G99" s="29" t="str">
        <x:v>target_text_with_conflicting_doi</x:v>
      </x:c>
      <x:c r="H99" s="30" t="str">
        <x:v>https://doi.org/10.1128/mbio.01697-24</x:v>
      </x:c>
    </x:row>
    <x:row r="100" ht="79.19999694824219" hidden="0" customHeight="1">
      <x:c r="A100" s="28" t="str">
        <x:v>10.1136/jnnp-2011-301779</x:v>
      </x:c>
      <x:c r="B100" s="29" t="str">
        <x:v>Depression: an inflammatory illness?: Figure 1</x:v>
      </x:c>
      <x:c r="C100" s="29" t="str">
        <x:v>review</x:v>
      </x:c>
      <x:c r="D100" s="29" t="n">
        <x:v>0</x:v>
      </x:c>
      <x:c r="E100" s="29" t="str">
        <x:v>excluded_prescreen_no_artifact_repair</x:v>
      </x:c>
      <x:c r="F100" s="29" t="str">
        <x:v>canonical prescreen excludes this record</x:v>
      </x:c>
      <x:c r="G100" s="29" t="str">
        <x:v>identity_unverified</x:v>
      </x:c>
      <x:c r="H100" s="30" t="str">
        <x:v>https://doi.org/10.1136/jnnp-2011-301779</x:v>
      </x:c>
    </x:row>
    <x:row r="101" ht="79.19999694824219" hidden="0" customHeight="1">
      <x:c r="A101" s="28" t="str">
        <x:v>10.1136/rapm-2023-esra.669</x:v>
      </x:c>
      <x:c r="B101" s="29" t="str">
        <x:v>#36946 Ketamine in acute and chronic pain</x:v>
      </x:c>
      <x:c r="C101" s="29" t="str">
        <x:v>article</x:v>
      </x:c>
      <x:c r="D101" s="29" t="n">
        <x:v>0</x:v>
      </x:c>
      <x:c r="E101" s="29" t="str">
        <x:v>excluded_prescreen_no_artifact_repair</x:v>
      </x:c>
      <x:c r="F101" s="29" t="str">
        <x:v>canonical prescreen excludes this record</x:v>
      </x:c>
      <x:c r="G101" s="29" t="str">
        <x:v>unsegmented_proceedings_container</x:v>
      </x:c>
      <x:c r="H101" s="30" t="str">
        <x:v>https://doi.org/10.1136/rapm-2023-esra.669</x:v>
      </x:c>
    </x:row>
    <x:row r="102" ht="118.80000305175781" hidden="0" customHeight="1">
      <x:c r="A102" s="28" t="str">
        <x:v>10.1136/rapm-2024-esra.582</x:v>
      </x:c>
      <x:c r="B102" s="29" t="str">
        <x:v>G33 Psychedelic drugs for the treatment of chronic pain: is ketamine included?</x:v>
      </x:c>
      <x:c r="C102" s="29" t="str">
        <x:v>article</x:v>
      </x:c>
      <x:c r="D102" s="29" t="n">
        <x:v>0</x:v>
      </x:c>
      <x:c r="E102" s="29" t="str">
        <x:v>excluded_prescreen_no_artifact_repair</x:v>
      </x:c>
      <x:c r="F102" s="29" t="str">
        <x:v>canonical prescreen excludes this record</x:v>
      </x:c>
      <x:c r="G102" s="29" t="str">
        <x:v>identity_mismatch | unsegmented_proceedings_container</x:v>
      </x:c>
      <x:c r="H102" s="30" t="str">
        <x:v>https://doi.org/10.1136/rapm-2024-esra.582</x:v>
      </x:c>
    </x:row>
    <x:row r="103" ht="184.8000030517578" hidden="0" customHeight="1">
      <x:c r="A103" s="28" t="str">
        <x:v>10.11588/heidok.00038014</x:v>
      </x:c>
      <x:c r="B103" s="29" t="str">
        <x:v>Behavioral and Molecular Mechanisms of Cocaine Addiction Vulnerability: Functional Evidence from Rodent Models</x:v>
      </x:c>
      <x:c r="C103" s="29" t="str">
        <x:v>thesis_or_dissertation</x:v>
      </x:c>
      <x:c r="D103" s="29" t="n">
        <x:v>0</x:v>
      </x:c>
      <x:c r="E103" s="29" t="str">
        <x:v>not_retained_no_artifact_repair</x:v>
      </x:c>
      <x:c r="F103" s="29" t="str">
        <x:v>record is not currently retained after downstream screening/routing</x:v>
      </x:c>
      <x:c r="G103" s="29" t="str">
        <x:v>identity_unverified</x:v>
      </x:c>
      <x:c r="H103" s="30" t="str">
        <x:v>https://doi.org/10.11588/heidok.00038014</x:v>
      </x:c>
    </x:row>
    <x:row r="104" ht="118.80000305175781" hidden="0" customHeight="1">
      <x:c r="A104" s="28" t="str">
        <x:v>10.1186/s13054-016-1208-6</x:v>
      </x:c>
      <x:c r="B104" s="29" t="str">
        <x:v>36th International Symposium on Intensive Care and Emergency Medicine</x:v>
      </x:c>
      <x:c r="C104" s="29" t="str">
        <x:v>article</x:v>
      </x:c>
      <x:c r="D104" s="29" t="n">
        <x:v>0</x:v>
      </x:c>
      <x:c r="E104" s="29" t="str">
        <x:v>excluded_prescreen_no_artifact_repair</x:v>
      </x:c>
      <x:c r="F104" s="29" t="str">
        <x:v>canonical prescreen excludes this record</x:v>
      </x:c>
      <x:c r="G104" s="29" t="str">
        <x:v>main_article_points_to_correction</x:v>
      </x:c>
      <x:c r="H104" s="30" t="str">
        <x:v>https://doi.org/10.1186/s13054-016-1208-6</x:v>
      </x:c>
    </x:row>
    <x:row r="105" ht="52.79999923706055" hidden="0" customHeight="1">
      <x:c r="A105" s="28" t="str">
        <x:v>10.1192/j.eurpsy.2021.1290</x:v>
      </x:c>
      <x:c r="B105" s="29" t="str">
        <x:v>Psychedelics: A new era of treatment?</x:v>
      </x:c>
      <x:c r="C105" s="29" t="str">
        <x:v>journal-article</x:v>
      </x:c>
      <x:c r="D105" s="29" t="n">
        <x:v>0</x:v>
      </x:c>
      <x:c r="E105" s="29" t="str">
        <x:v>excluded_prescreen_no_artifact_repair</x:v>
      </x:c>
      <x:c r="F105" s="29" t="str">
        <x:v>canonical prescreen excludes this record</x:v>
      </x:c>
      <x:c r="G105" s="29" t="str">
        <x:v>unsegmented_proceedings_container</x:v>
      </x:c>
      <x:c r="H105" s="30" t="str">
        <x:v>https://doi.org/10.1192/j.eurpsy.2021.1290</x:v>
      </x:c>
    </x:row>
    <x:row r="106" ht="105.5999984741211" hidden="0" customHeight="1">
      <x:c r="A106" s="28" t="str">
        <x:v>10.1192/j.eurpsy.2021.2043</x:v>
      </x:c>
      <x:c r="B106" s="29" t="str">
        <x:v>Ayahuasca potential benefits</x:v>
      </x:c>
      <x:c r="C106" s="29" t="str">
        <x:v>article</x:v>
      </x:c>
      <x:c r="D106" s="29" t="n">
        <x:v>0</x:v>
      </x:c>
      <x:c r="E106" s="29" t="str">
        <x:v>excluded_prescreen_no_artifact_repair</x:v>
      </x:c>
      <x:c r="F106" s="29" t="str">
        <x:v>canonical prescreen excludes this record</x:v>
      </x:c>
      <x:c r="G106" s="29" t="str">
        <x:v>target_text_with_conflicting_doi | unsegmented_proceedings_container</x:v>
      </x:c>
      <x:c r="H106" s="30" t="str">
        <x:v>https://doi.org/10.1192/j.eurpsy.2021.2043</x:v>
      </x:c>
    </x:row>
    <x:row r="107" ht="145.1999969482422" hidden="0" customHeight="1">
      <x:c r="A107" s="28" t="str">
        <x:v>10.1192/j.eurpsy.2021.886</x:v>
      </x:c>
      <x:c r="B107" s="29" t="str">
        <x:v>How effective are ketamine or esketamine in treatment-resistant depression?</x:v>
      </x:c>
      <x:c r="C107" s="29" t="str">
        <x:v>journal-article</x:v>
      </x:c>
      <x:c r="D107" s="29" t="n">
        <x:v>0</x:v>
      </x:c>
      <x:c r="E107" s="29" t="str">
        <x:v>excluded_prescreen_no_artifact_repair</x:v>
      </x:c>
      <x:c r="F107" s="29" t="str">
        <x:v>canonical prescreen excludes this record</x:v>
      </x:c>
      <x:c r="G107" s="29" t="str">
        <x:v>unsegmented_proceedings_container</x:v>
      </x:c>
      <x:c r="H107" s="30" t="str">
        <x:v>https://doi.org/10.1192/j.eurpsy.2021.886</x:v>
      </x:c>
    </x:row>
    <x:row r="108" ht="145.1999969482422" hidden="0" customHeight="1">
      <x:c r="A108" s="28" t="str">
        <x:v>10.1192/j.eurpsy.2022.1058</x:v>
      </x:c>
      <x:c r="B108" s="29" t="str">
        <x:v>Use of Electro-Convulsive Therapy as a Bipolar Disorder Treatment: A Systematic Review.</x:v>
      </x:c>
      <x:c r="C108" s="29" t="str">
        <x:v>journal-article</x:v>
      </x:c>
      <x:c r="D108" s="29" t="n">
        <x:v>0</x:v>
      </x:c>
      <x:c r="E108" s="29" t="str">
        <x:v>excluded_prescreen_no_artifact_repair</x:v>
      </x:c>
      <x:c r="F108" s="29" t="str">
        <x:v>canonical prescreen excludes this record</x:v>
      </x:c>
      <x:c r="G108" s="29" t="str">
        <x:v>unsegmented_proceedings_container</x:v>
      </x:c>
      <x:c r="H108" s="30" t="str">
        <x:v>https://doi.org/10.1192/j.eurpsy.2022.1058</x:v>
      </x:c>
    </x:row>
    <x:row r="109" ht="158.39999389648438" hidden="0" customHeight="1">
      <x:c r="A109" s="28" t="str">
        <x:v>10.1192/j.eurpsy.2022.1446</x:v>
      </x:c>
      <x:c r="B109" s="29" t="str">
        <x:v>S-Ketamine in the treatment of depressive emergencies: a cases series of patients in a suicidal crisis.</x:v>
      </x:c>
      <x:c r="C109" s="29" t="str">
        <x:v>journal-article</x:v>
      </x:c>
      <x:c r="D109" s="29" t="n">
        <x:v>0</x:v>
      </x:c>
      <x:c r="E109" s="29" t="str">
        <x:v>excluded_prescreen_no_artifact_repair</x:v>
      </x:c>
      <x:c r="F109" s="29" t="str">
        <x:v>canonical prescreen excludes this record</x:v>
      </x:c>
      <x:c r="G109" s="29" t="str">
        <x:v>unsegmented_proceedings_container</x:v>
      </x:c>
      <x:c r="H109" s="30" t="str">
        <x:v>https://doi.org/10.1192/j.eurpsy.2022.1446</x:v>
      </x:c>
    </x:row>
    <x:row r="110" ht="184.8000030517578" hidden="0" customHeight="1">
      <x:c r="A110" s="28" t="str">
        <x:v>10.1192/j.eurpsy.2022.1659</x:v>
      </x:c>
      <x:c r="B110" s="29" t="str">
        <x:v>Therapeutic potential of serotoninergic psychedelic substances in the treatment of Obsessive Compulsive Disorder.</x:v>
      </x:c>
      <x:c r="C110" s="29" t="str">
        <x:v>journal-article</x:v>
      </x:c>
      <x:c r="D110" s="29" t="n">
        <x:v>0</x:v>
      </x:c>
      <x:c r="E110" s="29" t="str">
        <x:v>excluded_prescreen_no_artifact_repair</x:v>
      </x:c>
      <x:c r="F110" s="29" t="str">
        <x:v>canonical prescreen excludes this record</x:v>
      </x:c>
      <x:c r="G110" s="29" t="str">
        <x:v>unsegmented_proceedings_container</x:v>
      </x:c>
      <x:c r="H110" s="30" t="str">
        <x:v>https://doi.org/10.1192/j.eurpsy.2022.1659</x:v>
      </x:c>
    </x:row>
    <x:row r="111" ht="224.39999389648438" hidden="0" customHeight="1">
      <x:c r="A111" s="28" t="str">
        <x:v>10.1192/j.eurpsy.2022.1731</x:v>
      </x:c>
      <x:c r="B111" s="29" t="str">
        <x:v>MDMA-Assisted Therapy for Treatment-Resistant Posttraumatic Stress Disorder (PTSD) – One step further toward a patient-centered treatment pathway</x:v>
      </x:c>
      <x:c r="C111" s="29" t="str">
        <x:v>journal-article</x:v>
      </x:c>
      <x:c r="D111" s="29" t="n">
        <x:v>0</x:v>
      </x:c>
      <x:c r="E111" s="29" t="str">
        <x:v>excluded_prescreen_no_artifact_repair</x:v>
      </x:c>
      <x:c r="F111" s="29" t="str">
        <x:v>canonical prescreen excludes this record</x:v>
      </x:c>
      <x:c r="G111" s="29" t="str">
        <x:v>unsegmented_proceedings_container</x:v>
      </x:c>
      <x:c r="H111" s="30" t="str">
        <x:v>https://doi.org/10.1192/j.eurpsy.2022.1731</x:v>
      </x:c>
    </x:row>
    <x:row r="112" ht="158.39999389648438" hidden="0" customHeight="1">
      <x:c r="A112" s="28" t="str">
        <x:v>10.1192/j.eurpsy.2022.1843</x:v>
      </x:c>
      <x:c r="B112" s="29" t="str">
        <x:v>Therapeutic use of ayahuasca: a review of the evidence of its use in approaching depressive disorders.</x:v>
      </x:c>
      <x:c r="C112" s="29" t="str">
        <x:v>journal-article</x:v>
      </x:c>
      <x:c r="D112" s="29" t="n">
        <x:v>0</x:v>
      </x:c>
      <x:c r="E112" s="29" t="str">
        <x:v>excluded_prescreen_no_artifact_repair</x:v>
      </x:c>
      <x:c r="F112" s="29" t="str">
        <x:v>canonical prescreen excludes this record</x:v>
      </x:c>
      <x:c r="G112" s="29" t="str">
        <x:v>unsegmented_proceedings_container</x:v>
      </x:c>
      <x:c r="H112" s="30" t="str">
        <x:v>https://doi.org/10.1192/j.eurpsy.2022.1843</x:v>
      </x:c>
    </x:row>
    <x:row r="113" ht="237.60000610351562" hidden="0" customHeight="1">
      <x:c r="A113" s="28" t="str">
        <x:v>10.1192/j.eurpsy.2022.1846</x:v>
      </x:c>
      <x:c r="B113" s="29" t="str">
        <x:v>A Phase 1, Dose-Ranging Study to Assess Safety and Psychoactive Effects of a Vaporized 5-Methoxy-N,N-Dimethyltryptamine Formulation (GH001) in Healthy Volunteers.</x:v>
      </x:c>
      <x:c r="C113" s="29" t="str">
        <x:v>journal-article</x:v>
      </x:c>
      <x:c r="D113" s="29" t="n">
        <x:v>0</x:v>
      </x:c>
      <x:c r="E113" s="29" t="str">
        <x:v>excluded_prescreen_no_artifact_repair</x:v>
      </x:c>
      <x:c r="F113" s="29" t="str">
        <x:v>canonical prescreen excludes this record</x:v>
      </x:c>
      <x:c r="G113" s="29" t="str">
        <x:v>unsegmented_proceedings_container</x:v>
      </x:c>
      <x:c r="H113" s="30" t="str">
        <x:v>https://doi.org/10.1192/j.eurpsy.2022.1846</x:v>
      </x:c>
    </x:row>
    <x:row r="114" ht="92.4000015258789" hidden="0" customHeight="1">
      <x:c r="A114" s="28" t="str">
        <x:v>10.1192/j.eurpsy.2022.1879</x:v>
      </x:c>
      <x:c r="B114" s="29" t="str">
        <x:v>The cognitive effects of esketamine: what do we know so far?</x:v>
      </x:c>
      <x:c r="C114" s="29" t="str">
        <x:v>journal-article</x:v>
      </x:c>
      <x:c r="D114" s="29" t="n">
        <x:v>0</x:v>
      </x:c>
      <x:c r="E114" s="29" t="str">
        <x:v>excluded_prescreen_no_artifact_repair</x:v>
      </x:c>
      <x:c r="F114" s="29" t="str">
        <x:v>canonical prescreen excludes this record</x:v>
      </x:c>
      <x:c r="G114" s="29" t="str">
        <x:v>unsegmented_proceedings_container</x:v>
      </x:c>
      <x:c r="H114" s="30" t="str">
        <x:v>https://doi.org/10.1192/j.eurpsy.2022.1879</x:v>
      </x:c>
    </x:row>
    <x:row r="115" ht="145.1999969482422" hidden="0" customHeight="1">
      <x:c r="A115" s="28" t="str">
        <x:v>10.1192/j.eurpsy.2022.2157</x:v>
      </x:c>
      <x:c r="B115" s="29" t="str">
        <x:v>Psychiatric comorbidity among patients attending an addiction treatment center in Morocco.</x:v>
      </x:c>
      <x:c r="C115" s="29" t="str">
        <x:v>journal-article</x:v>
      </x:c>
      <x:c r="D115" s="29" t="n">
        <x:v>0</x:v>
      </x:c>
      <x:c r="E115" s="29" t="str">
        <x:v>excluded_prescreen_no_artifact_repair</x:v>
      </x:c>
      <x:c r="F115" s="29" t="str">
        <x:v>canonical prescreen excludes this record</x:v>
      </x:c>
      <x:c r="G115" s="29" t="str">
        <x:v>unsegmented_proceedings_container</x:v>
      </x:c>
      <x:c r="H115" s="30" t="str">
        <x:v>https://doi.org/10.1192/j.eurpsy.2022.2157</x:v>
      </x:c>
    </x:row>
    <x:row r="116" ht="132" hidden="0" customHeight="1">
      <x:c r="A116" s="28" t="str">
        <x:v>10.1192/j.eurpsy.2022.2272</x:v>
      </x:c>
      <x:c r="B116" s="29" t="str">
        <x:v>Does LSD Have Any Therapeutical Value In Mental Disorders? A Non-Systemic Review.</x:v>
      </x:c>
      <x:c r="C116" s="29" t="str">
        <x:v>journal-article</x:v>
      </x:c>
      <x:c r="D116" s="29" t="n">
        <x:v>0</x:v>
      </x:c>
      <x:c r="E116" s="29" t="str">
        <x:v>excluded_prescreen_no_artifact_repair</x:v>
      </x:c>
      <x:c r="F116" s="29" t="str">
        <x:v>canonical prescreen excludes this record</x:v>
      </x:c>
      <x:c r="G116" s="29" t="str">
        <x:v>unsegmented_proceedings_container</x:v>
      </x:c>
      <x:c r="H116" s="30" t="str">
        <x:v>https://doi.org/10.1192/j.eurpsy.2022.2272</x:v>
      </x:c>
    </x:row>
    <x:row r="117" ht="105.5999984741211" hidden="0" customHeight="1">
      <x:c r="A117" s="28" t="str">
        <x:v>10.1192/j.eurpsy.2022.2294</x:v>
      </x:c>
      <x:c r="B117" s="29" t="str">
        <x:v>Clinical efficacy and tolerability of Esketamine: a case series.</x:v>
      </x:c>
      <x:c r="C117" s="29" t="str">
        <x:v>journal-article</x:v>
      </x:c>
      <x:c r="D117" s="29" t="n">
        <x:v>0</x:v>
      </x:c>
      <x:c r="E117" s="29" t="str">
        <x:v>excluded_prescreen_no_artifact_repair</x:v>
      </x:c>
      <x:c r="F117" s="29" t="str">
        <x:v>canonical prescreen excludes this record</x:v>
      </x:c>
      <x:c r="G117" s="29" t="str">
        <x:v>unsegmented_proceedings_container</x:v>
      </x:c>
      <x:c r="H117" s="30" t="str">
        <x:v>https://doi.org/10.1192/j.eurpsy.2022.2294</x:v>
      </x:c>
    </x:row>
    <x:row r="118" ht="145.1999969482422" hidden="0" customHeight="1">
      <x:c r="A118" s="28" t="str">
        <x:v>10.1192/j.eurpsy.2022.2297</x:v>
      </x:c>
      <x:c r="B118" s="29" t="str">
        <x:v>A Review of Aeruginascin and Potential Entourage Effect in Hallucinogenic Mushrooms.</x:v>
      </x:c>
      <x:c r="C118" s="29" t="str">
        <x:v>journal-article</x:v>
      </x:c>
      <x:c r="D118" s="29" t="n">
        <x:v>0</x:v>
      </x:c>
      <x:c r="E118" s="29" t="str">
        <x:v>excluded_prescreen_no_artifact_repair</x:v>
      </x:c>
      <x:c r="F118" s="29" t="str">
        <x:v>canonical prescreen excludes this record</x:v>
      </x:c>
      <x:c r="G118" s="29" t="str">
        <x:v>unsegmented_proceedings_container</x:v>
      </x:c>
      <x:c r="H118" s="30" t="str">
        <x:v>https://doi.org/10.1192/j.eurpsy.2022.2297</x:v>
      </x:c>
    </x:row>
    <x:row r="119" ht="118.80000305175781" hidden="0" customHeight="1">
      <x:c r="A119" s="28" t="str">
        <x:v>10.1192/j.eurpsy.2022.837</x:v>
      </x:c>
      <x:c r="B119" s="29" t="str">
        <x:v>Association of Psilocybin Use in Adolescents with Major Depressive Episode</x:v>
      </x:c>
      <x:c r="C119" s="29" t="str">
        <x:v>journal-article</x:v>
      </x:c>
      <x:c r="D119" s="29" t="n">
        <x:v>0</x:v>
      </x:c>
      <x:c r="E119" s="29" t="str">
        <x:v>excluded_prescreen_no_artifact_repair</x:v>
      </x:c>
      <x:c r="F119" s="29" t="str">
        <x:v>canonical prescreen excludes this record</x:v>
      </x:c>
      <x:c r="G119" s="29" t="str">
        <x:v>unsegmented_proceedings_container</x:v>
      </x:c>
      <x:c r="H119" s="30" t="str">
        <x:v>https://doi.org/10.1192/j.eurpsy.2022.837</x:v>
      </x:c>
    </x:row>
    <x:row r="120" ht="184.8000030517578" hidden="0" customHeight="1">
      <x:c r="A120" s="28" t="str">
        <x:v>10.1192/j.eurpsy.2023.1745</x:v>
      </x:c>
      <x:c r="B120" s="29" t="str">
        <x:v>Effectiveness and Tolerability of Intranasal Esketamine in Treatment-Resistant Depression: Report of Two Clinical Cases.</x:v>
      </x:c>
      <x:c r="C120" s="29" t="str">
        <x:v>journal-article</x:v>
      </x:c>
      <x:c r="D120" s="29" t="n">
        <x:v>0</x:v>
      </x:c>
      <x:c r="E120" s="29" t="str">
        <x:v>excluded_prescreen_no_artifact_repair</x:v>
      </x:c>
      <x:c r="F120" s="29" t="str">
        <x:v>canonical prescreen excludes this record</x:v>
      </x:c>
      <x:c r="G120" s="29" t="str">
        <x:v>unsegmented_proceedings_container</x:v>
      </x:c>
      <x:c r="H120" s="30" t="str">
        <x:v>https://doi.org/10.1192/j.eurpsy.2023.1745</x:v>
      </x:c>
    </x:row>
    <x:row r="121" ht="105.5999984741211" hidden="0" customHeight="1">
      <x:c r="A121" s="28" t="str">
        <x:v>10.1192/j.eurpsy.2023.1759</x:v>
      </x:c>
      <x:c r="B121" s="29" t="str">
        <x:v>The antidepressant properties of ketamine (literature review).</x:v>
      </x:c>
      <x:c r="C121" s="29" t="str">
        <x:v>unknown</x:v>
      </x:c>
      <x:c r="D121" s="29" t="n">
        <x:v>0</x:v>
      </x:c>
      <x:c r="E121" s="29" t="str">
        <x:v>excluded_prescreen_no_artifact_repair</x:v>
      </x:c>
      <x:c r="F121" s="29" t="str">
        <x:v>canonical prescreen excludes this record</x:v>
      </x:c>
      <x:c r="G121" s="29" t="str">
        <x:v>unsegmented_proceedings_container</x:v>
      </x:c>
      <x:c r="H121" s="30" t="str">
        <x:v>https://doi.org/10.1192/j.eurpsy.2023.1759</x:v>
      </x:c>
    </x:row>
    <x:row r="122" ht="264" hidden="0" customHeight="1">
      <x:c r="A122" s="28" t="str">
        <x:v>10.1192/j.eurpsy.2023.1779</x:v>
      </x:c>
      <x:c r="B122" s="29" t="str">
        <x:v>Good Practice for Treatment-Resistant Depression during SARS CoV – 2 outbreak: are ketamine infusions an effective alternative for TRD patients? A case series.</x:v>
      </x:c>
      <x:c r="C122" s="29" t="str">
        <x:v>unknown</x:v>
      </x:c>
      <x:c r="D122" s="29" t="n">
        <x:v>0</x:v>
      </x:c>
      <x:c r="E122" s="29" t="str">
        <x:v>excluded_prescreen_no_artifact_repair</x:v>
      </x:c>
      <x:c r="F122" s="29" t="str">
        <x:v>canonical prescreen excludes this record</x:v>
      </x:c>
      <x:c r="G122" s="29" t="str">
        <x:v>unsegmented_proceedings_container</x:v>
      </x:c>
      <x:c r="H122" s="30" t="str">
        <x:v>https://doi.org/10.1192/j.eurpsy.2023.1779</x:v>
      </x:c>
    </x:row>
    <x:row r="123" ht="224.39999389648438" hidden="0" customHeight="1">
      <x:c r="A123" s="28" t="str">
        <x:v>10.1192/j.eurpsy.2023.1792</x:v>
      </x:c>
      <x:c r="B123" s="29" t="str">
        <x:v>Intranasal esketamine + Intensive CBT: a 12 months follow-up of two complicated cases of Treatment Resistant Depression at high suicidal risk</x:v>
      </x:c>
      <x:c r="C123" s="29" t="str">
        <x:v>journal-article</x:v>
      </x:c>
      <x:c r="D123" s="29" t="n">
        <x:v>0</x:v>
      </x:c>
      <x:c r="E123" s="29" t="str">
        <x:v>excluded_prescreen_no_artifact_repair</x:v>
      </x:c>
      <x:c r="F123" s="29" t="str">
        <x:v>canonical prescreen excludes this record</x:v>
      </x:c>
      <x:c r="G123" s="29" t="str">
        <x:v>unsegmented_proceedings_container</x:v>
      </x:c>
      <x:c r="H123" s="30" t="str">
        <x:v>https://doi.org/10.1192/j.eurpsy.2023.1792</x:v>
      </x:c>
    </x:row>
    <x:row r="124" ht="224.39999389648438" hidden="0" customHeight="1">
      <x:c r="A124" s="28" t="str">
        <x:v>10.1192/j.eurpsy.2023.2</x:v>
      </x:c>
      <x:c r="B124" s="29" t="str">
        <x:v>A randomized controlled trial of a 14-day mindfulness ecological momentary intervention (MEMI) for generalized anxiety disorder</x:v>
      </x:c>
      <x:c r="C124" s="29" t="str">
        <x:v>Randomized Controlled Trial | Journal Article | Research Support, N.I.H., Extramural | Research Support, Non-U.S. Gov't</x:v>
      </x:c>
      <x:c r="D124" s="29" t="n">
        <x:v>0</x:v>
      </x:c>
      <x:c r="E124" s="29" t="str">
        <x:v>excluded_prescreen_no_artifact_repair</x:v>
      </x:c>
      <x:c r="F124" s="29" t="str">
        <x:v>canonical prescreen excludes this record</x:v>
      </x:c>
      <x:c r="G124" s="29" t="str">
        <x:v>unsegmented_proceedings_container</x:v>
      </x:c>
      <x:c r="H124" s="30" t="str">
        <x:v>https://doi.org/10.1192/j.eurpsy.2023.2</x:v>
      </x:c>
    </x:row>
    <x:row r="125" ht="105.5999984741211" hidden="0" customHeight="1">
      <x:c r="A125" s="28" t="str">
        <x:v>10.1192/j.eurpsy.2023.2028</x:v>
      </x:c>
      <x:c r="B125" s="29" t="str">
        <x:v>Intranasal Esketamine administration in catatonia: a case report.</x:v>
      </x:c>
      <x:c r="C125" s="29" t="str">
        <x:v>journal-article</x:v>
      </x:c>
      <x:c r="D125" s="29" t="n">
        <x:v>0</x:v>
      </x:c>
      <x:c r="E125" s="29" t="str">
        <x:v>excluded_prescreen_no_artifact_repair</x:v>
      </x:c>
      <x:c r="F125" s="29" t="str">
        <x:v>canonical prescreen excludes this record</x:v>
      </x:c>
      <x:c r="G125" s="29" t="str">
        <x:v>unsegmented_proceedings_container</x:v>
      </x:c>
      <x:c r="H125" s="30" t="str">
        <x:v>https://doi.org/10.1192/j.eurpsy.2023.2028</x:v>
      </x:c>
    </x:row>
    <x:row r="126" ht="224.39999389648438" hidden="0" customHeight="1">
      <x:c r="A126" s="28" t="str">
        <x:v>10.1192/j.eurpsy.2023.269</x:v>
      </x:c>
      <x:c r="B126" s="29" t="str">
        <x:v>A Pilot Study Comparing a Community of Practice Group Therapy Program with and without Concurrent Ketamine-assisted Therapy</x:v>
      </x:c>
      <x:c r="C126" s="29" t="str">
        <x:v>article</x:v>
      </x:c>
      <x:c r="D126" s="29" t="n">
        <x:v>0</x:v>
      </x:c>
      <x:c r="E126" s="29" t="str">
        <x:v>excluded_prescreen_no_artifact_repair</x:v>
      </x:c>
      <x:c r="F126" s="29" t="str">
        <x:v>canonical prescreen excludes this record</x:v>
      </x:c>
      <x:c r="G126" s="29" t="str">
        <x:v>unsegmented_proceedings_container</x:v>
      </x:c>
      <x:c r="H126" s="30" t="str">
        <x:v>https://doi.org/10.1192/j.eurpsy.2023.269</x:v>
      </x:c>
    </x:row>
    <x:row r="127" ht="171.60000610351562" hidden="0" customHeight="1">
      <x:c r="A127" s="28" t="str">
        <x:v>10.1192/j.eurpsy.2023.271</x:v>
      </x:c>
      <x:c r="B127" s="29" t="str">
        <x:v>ESKALE study, a French real-world study describing TRD patients with Esketamine nasal spray: final analysis.</x:v>
      </x:c>
      <x:c r="C127" s="29" t="str">
        <x:v>unknown</x:v>
      </x:c>
      <x:c r="D127" s="29" t="n">
        <x:v>0</x:v>
      </x:c>
      <x:c r="E127" s="29" t="str">
        <x:v>excluded_prescreen_no_artifact_repair</x:v>
      </x:c>
      <x:c r="F127" s="29" t="str">
        <x:v>canonical prescreen excludes this record</x:v>
      </x:c>
      <x:c r="G127" s="29" t="str">
        <x:v>unsegmented_proceedings_container</x:v>
      </x:c>
      <x:c r="H127" s="30" t="str">
        <x:v>https://doi.org/10.1192/j.eurpsy.2023.271</x:v>
      </x:c>
    </x:row>
    <x:row r="128" ht="435.6000061035156" hidden="0" customHeight="1">
      <x:c r="A128" s="28" t="str">
        <x:v>10.1192/j.eurpsy.2023.273</x:v>
      </x:c>
      <x:c r="B128" s="29" t="str">
        <x:v>Improvement in Depression Symptoms Measured by Montgomery-Åsberg Depression Rating Scale and Quick Inventory of Depressive Symptomatology-Self Rated Items after Randomised Double-blind COMP360 Psilocybin Therapy for Treatment-resistant Depression</x:v>
      </x:c>
      <x:c r="C128" s="29" t="str">
        <x:v>journal-article</x:v>
      </x:c>
      <x:c r="D128" s="29" t="n">
        <x:v>0</x:v>
      </x:c>
      <x:c r="E128" s="29" t="str">
        <x:v>excluded_prescreen_no_artifact_repair</x:v>
      </x:c>
      <x:c r="F128" s="29" t="str">
        <x:v>canonical prescreen excludes this record</x:v>
      </x:c>
      <x:c r="G128" s="29" t="str">
        <x:v>unsegmented_proceedings_container</x:v>
      </x:c>
      <x:c r="H128" s="30" t="str">
        <x:v>https://doi.org/10.1192/j.eurpsy.2023.273</x:v>
      </x:c>
    </x:row>
    <x:row r="129" ht="158.39999389648438" hidden="0" customHeight="1">
      <x:c r="A129" s="28" t="str">
        <x:v>10.1192/j.eurpsy.2023.385</x:v>
      </x:c>
      <x:c r="B129" s="29" t="str">
        <x:v>Gender differences in response and remission rates among patients receiving esketamine.</x:v>
      </x:c>
      <x:c r="C129" s="29" t="str">
        <x:v>journal-article</x:v>
      </x:c>
      <x:c r="D129" s="29" t="n">
        <x:v>0</x:v>
      </x:c>
      <x:c r="E129" s="29" t="str">
        <x:v>excluded_prescreen_no_artifact_repair</x:v>
      </x:c>
      <x:c r="F129" s="29" t="str">
        <x:v>canonical prescreen excludes this record</x:v>
      </x:c>
      <x:c r="G129" s="29" t="str">
        <x:v>unsegmented_proceedings_container</x:v>
      </x:c>
      <x:c r="H129" s="30" t="str">
        <x:v>https://doi.org/10.1192/j.eurpsy.2023.385</x:v>
      </x:c>
    </x:row>
    <x:row r="130" ht="158.39999389648438" hidden="0" customHeight="1">
      <x:c r="A130" s="28" t="str">
        <x:v>10.1192/j.eurpsy.2023.613</x:v>
      </x:c>
      <x:c r="B130" s="29" t="str">
        <x:v>Knocking on the Doors of Perception: the role of psilocybin in substance use disorder treatment.</x:v>
      </x:c>
      <x:c r="C130" s="29" t="str">
        <x:v>journal-article</x:v>
      </x:c>
      <x:c r="D130" s="29" t="n">
        <x:v>0</x:v>
      </x:c>
      <x:c r="E130" s="29" t="str">
        <x:v>excluded_prescreen_no_artifact_repair</x:v>
      </x:c>
      <x:c r="F130" s="29" t="str">
        <x:v>canonical prescreen excludes this record</x:v>
      </x:c>
      <x:c r="G130" s="29" t="str">
        <x:v>unsegmented_proceedings_container</x:v>
      </x:c>
      <x:c r="H130" s="30" t="str">
        <x:v>https://doi.org/10.1192/j.eurpsy.2023.613</x:v>
      </x:c>
    </x:row>
    <x:row r="131" ht="92.4000015258789" hidden="0" customHeight="1">
      <x:c r="A131" s="28" t="str">
        <x:v>10.1192/j.eurpsy.2023.74</x:v>
      </x:c>
      <x:c r="B131" s="29" t="str">
        <x:v>Psychedelics for depression: from neurobiology to treatment.</x:v>
      </x:c>
      <x:c r="C131" s="29" t="str">
        <x:v>journal-article</x:v>
      </x:c>
      <x:c r="D131" s="29" t="n">
        <x:v>0</x:v>
      </x:c>
      <x:c r="E131" s="29" t="str">
        <x:v>excluded_prescreen_no_artifact_repair</x:v>
      </x:c>
      <x:c r="F131" s="29" t="str">
        <x:v>canonical prescreen excludes this record</x:v>
      </x:c>
      <x:c r="G131" s="29" t="str">
        <x:v>unsegmented_proceedings_container</x:v>
      </x:c>
      <x:c r="H131" s="30" t="str">
        <x:v>https://doi.org/10.1192/j.eurpsy.2023.74</x:v>
      </x:c>
    </x:row>
    <x:row r="132" ht="158.39999389648438" hidden="0" customHeight="1">
      <x:c r="A132" s="28" t="str">
        <x:v>10.1192/j.eurpsy.2023.898</x:v>
      </x:c>
      <x:c r="B132" s="29" t="str">
        <x:v>Systematic Review on the Mechanisms of Action of Psilocybin in the Treatment of Depression.</x:v>
      </x:c>
      <x:c r="C132" s="29" t="str">
        <x:v>Review</x:v>
      </x:c>
      <x:c r="D132" s="29" t="n">
        <x:v>0</x:v>
      </x:c>
      <x:c r="E132" s="29" t="str">
        <x:v>excluded_prescreen_no_artifact_repair</x:v>
      </x:c>
      <x:c r="F132" s="29" t="str">
        <x:v>canonical prescreen excludes this record</x:v>
      </x:c>
      <x:c r="G132" s="29" t="str">
        <x:v>unsegmented_proceedings_container</x:v>
      </x:c>
      <x:c r="H132" s="30" t="str">
        <x:v>https://doi.org/10.1192/j.eurpsy.2023.898</x:v>
      </x:c>
    </x:row>
    <x:row r="133" ht="356.3999938964844" hidden="0" customHeight="1">
      <x:c r="A133" s="28" t="str">
        <x:v>10.1192/j.eurpsy.2023.903</x:v>
      </x:c>
      <x:c r="B133" s="29" t="str">
        <x:v>A 28-Day, Randomized, Controlled, Single-Blind, Phase 2 Study in Treatment-Resistant Major Depressive Disorder (TRD) Patients Receiving Intranasal Esketamine Comparing Addition of Almond Therapy TM with Treatment-as-Usual (TAU)</x:v>
      </x:c>
      <x:c r="C133" s="29" t="str">
        <x:v>article</x:v>
      </x:c>
      <x:c r="D133" s="29" t="n">
        <x:v>0</x:v>
      </x:c>
      <x:c r="E133" s="29" t="str">
        <x:v>excluded_prescreen_no_artifact_repair</x:v>
      </x:c>
      <x:c r="F133" s="29" t="str">
        <x:v>canonical prescreen excludes this record</x:v>
      </x:c>
      <x:c r="G133" s="29" t="str">
        <x:v>target_text_with_conflicting_doi | unsegmented_proceedings_container</x:v>
      </x:c>
      <x:c r="H133" s="30" t="str">
        <x:v>https://doi.org/10.1192/j.eurpsy.2023.903</x:v>
      </x:c>
    </x:row>
    <x:row r="134" ht="145.1999969482422" hidden="0" customHeight="1">
      <x:c r="A134" s="28" t="str">
        <x:v>10.1192/j.eurpsy.2024.1103</x:v>
      </x:c>
      <x:c r="B134" s="29" t="str">
        <x:v>Esketamine for resistant depression in older people with cognitive impairment: a case report.</x:v>
      </x:c>
      <x:c r="C134" s="29" t="str">
        <x:v>journal-article</x:v>
      </x:c>
      <x:c r="D134" s="29" t="n">
        <x:v>0</x:v>
      </x:c>
      <x:c r="E134" s="29" t="str">
        <x:v>excluded_prescreen_no_artifact_repair</x:v>
      </x:c>
      <x:c r="F134" s="29" t="str">
        <x:v>canonical prescreen excludes this record</x:v>
      </x:c>
      <x:c r="G134" s="29" t="str">
        <x:v>unsegmented_proceedings_container</x:v>
      </x:c>
      <x:c r="H134" s="30" t="str">
        <x:v>https://doi.org/10.1192/j.eurpsy.2024.1103</x:v>
      </x:c>
    </x:row>
    <x:row r="135" ht="145.1999969482422" hidden="0" customHeight="1">
      <x:c r="A135" s="28" t="str">
        <x:v>10.1192/j.eurpsy.2024.1307</x:v>
      </x:c>
      <x:c r="B135" s="29" t="str">
        <x:v>Ketamine in the treatment of obsessive-compulsive disorder – a case report and literature review</x:v>
      </x:c>
      <x:c r="C135" s="29" t="str">
        <x:v>journal-article</x:v>
      </x:c>
      <x:c r="D135" s="29" t="n">
        <x:v>0</x:v>
      </x:c>
      <x:c r="E135" s="29" t="str">
        <x:v>excluded_prescreen_no_artifact_repair</x:v>
      </x:c>
      <x:c r="F135" s="29" t="str">
        <x:v>canonical prescreen excludes this record</x:v>
      </x:c>
      <x:c r="G135" s="29" t="str">
        <x:v>unsegmented_proceedings_container</x:v>
      </x:c>
      <x:c r="H135" s="30" t="str">
        <x:v>https://doi.org/10.1192/j.eurpsy.2024.1307</x:v>
      </x:c>
    </x:row>
    <x:row r="136" ht="145.1999969482422" hidden="0" customHeight="1">
      <x:c r="A136" s="28" t="str">
        <x:v>10.1192/j.eurpsy.2024.1440</x:v>
      </x:c>
      <x:c r="B136" s="29" t="str">
        <x:v>Intranasal esketamine efficacy as a treatment for treatment-resistant depression, case series</x:v>
      </x:c>
      <x:c r="C136" s="29" t="str">
        <x:v>journal-article</x:v>
      </x:c>
      <x:c r="D136" s="29" t="n">
        <x:v>0</x:v>
      </x:c>
      <x:c r="E136" s="29" t="str">
        <x:v>excluded_prescreen_no_artifact_repair</x:v>
      </x:c>
      <x:c r="F136" s="29" t="str">
        <x:v>canonical prescreen excludes this record</x:v>
      </x:c>
      <x:c r="G136" s="29" t="str">
        <x:v>unsegmented_proceedings_container</x:v>
      </x:c>
      <x:c r="H136" s="30" t="str">
        <x:v>https://doi.org/10.1192/j.eurpsy.2024.1440</x:v>
      </x:c>
    </x:row>
    <x:row r="137" ht="105.5999984741211" hidden="0" customHeight="1">
      <x:c r="A137" s="28" t="str">
        <x:v>10.1192/j.eurpsy.2024.1444</x:v>
      </x:c>
      <x:c r="B137" s="29" t="str">
        <x:v>False-Positive Urine Drug Screening in a Patient on Quetiapine.</x:v>
      </x:c>
      <x:c r="C137" s="29" t="str">
        <x:v>journal-article</x:v>
      </x:c>
      <x:c r="D137" s="29" t="n">
        <x:v>0</x:v>
      </x:c>
      <x:c r="E137" s="29" t="str">
        <x:v>excluded_prescreen_no_artifact_repair</x:v>
      </x:c>
      <x:c r="F137" s="29" t="str">
        <x:v>canonical prescreen excludes this record</x:v>
      </x:c>
      <x:c r="G137" s="29" t="str">
        <x:v>unsegmented_proceedings_container</x:v>
      </x:c>
      <x:c r="H137" s="30" t="str">
        <x:v>https://doi.org/10.1192/j.eurpsy.2024.1444</x:v>
      </x:c>
    </x:row>
    <x:row r="138" ht="224.39999389648438" hidden="0" customHeight="1">
      <x:c r="A138" s="28" t="str">
        <x:v>10.1192/j.eurpsy.2024.1480</x:v>
      </x:c>
      <x:c r="B138" s="29" t="str">
        <x:v>The effect of music type in ketamine-assisted group therapy on treatment-resistant mental health conditions: a prospective observational study.</x:v>
      </x:c>
      <x:c r="C138" s="29" t="str">
        <x:v>journal-article</x:v>
      </x:c>
      <x:c r="D138" s="29" t="n">
        <x:v>0</x:v>
      </x:c>
      <x:c r="E138" s="29" t="str">
        <x:v>excluded_prescreen_no_artifact_repair</x:v>
      </x:c>
      <x:c r="F138" s="29" t="str">
        <x:v>canonical prescreen excludes this record</x:v>
      </x:c>
      <x:c r="G138" s="29" t="str">
        <x:v>unsegmented_proceedings_container</x:v>
      </x:c>
      <x:c r="H138" s="30" t="str">
        <x:v>https://doi.org/10.1192/j.eurpsy.2024.1480</x:v>
      </x:c>
    </x:row>
    <x:row r="139" ht="105.5999984741211" hidden="0" customHeight="1">
      <x:c r="A139" s="28" t="str">
        <x:v>10.1192/j.eurpsy.2024.1695</x:v>
      </x:c>
      <x:c r="B139" s="29" t="str">
        <x:v>Current situation regarding psychedelics and magic mushroom in Korea.</x:v>
      </x:c>
      <x:c r="C139" s="29" t="str">
        <x:v>journal-article</x:v>
      </x:c>
      <x:c r="D139" s="29" t="n">
        <x:v>0</x:v>
      </x:c>
      <x:c r="E139" s="29" t="str">
        <x:v>excluded_prescreen_no_artifact_repair</x:v>
      </x:c>
      <x:c r="F139" s="29" t="str">
        <x:v>canonical prescreen excludes this record</x:v>
      </x:c>
      <x:c r="G139" s="29" t="str">
        <x:v>unsegmented_proceedings_container</x:v>
      </x:c>
      <x:c r="H139" s="30" t="str">
        <x:v>https://doi.org/10.1192/j.eurpsy.2024.1695</x:v>
      </x:c>
    </x:row>
    <x:row r="140" ht="132" hidden="0" customHeight="1">
      <x:c r="A140" s="28" t="str">
        <x:v>10.1192/j.eurpsy.2024.198</x:v>
      </x:c>
      <x:c r="B140" s="29" t="str">
        <x:v>A Meta-Analysis of fMRI Activation Studies of Ketamine in Healthy Participants.</x:v>
      </x:c>
      <x:c r="C140" s="29" t="str">
        <x:v>journal-article</x:v>
      </x:c>
      <x:c r="D140" s="29" t="n">
        <x:v>0</x:v>
      </x:c>
      <x:c r="E140" s="29" t="str">
        <x:v>excluded_prescreen_no_artifact_repair</x:v>
      </x:c>
      <x:c r="F140" s="29" t="str">
        <x:v>canonical prescreen excludes this record</x:v>
      </x:c>
      <x:c r="G140" s="29" t="str">
        <x:v>unsegmented_proceedings_container</x:v>
      </x:c>
      <x:c r="H140" s="30" t="str">
        <x:v>https://doi.org/10.1192/j.eurpsy.2024.198</x:v>
      </x:c>
    </x:row>
    <x:row r="141" ht="237.60000610351562" hidden="0" customHeight="1">
      <x:c r="A141" s="28" t="str">
        <x:v>10.1192/j.eurpsy.2024.253</x:v>
      </x:c>
      <x:c r="B141" s="29" t="str">
        <x:v>How adults with treatment resistant depression experience their first esketamine nasal spray treatment? Preliminary results from a French qualitative study.</x:v>
      </x:c>
      <x:c r="C141" s="29" t="str">
        <x:v>journal-article</x:v>
      </x:c>
      <x:c r="D141" s="29" t="n">
        <x:v>0</x:v>
      </x:c>
      <x:c r="E141" s="29" t="str">
        <x:v>excluded_prescreen_no_artifact_repair</x:v>
      </x:c>
      <x:c r="F141" s="29" t="str">
        <x:v>canonical prescreen excludes this record</x:v>
      </x:c>
      <x:c r="G141" s="29" t="str">
        <x:v>unsegmented_proceedings_container</x:v>
      </x:c>
      <x:c r="H141" s="30" t="str">
        <x:v>https://doi.org/10.1192/j.eurpsy.2024.253</x:v>
      </x:c>
    </x:row>
    <x:row r="142" ht="92.4000015258789" hidden="0" customHeight="1">
      <x:c r="A142" s="28" t="str">
        <x:v>10.1192/j.eurpsy.2024.480</x:v>
      </x:c>
      <x:c r="B142" s="29" t="str">
        <x:v>Ketamine enhanced ECT in refractory recurrent depression.</x:v>
      </x:c>
      <x:c r="C142" s="29" t="str">
        <x:v>article</x:v>
      </x:c>
      <x:c r="D142" s="29" t="n">
        <x:v>0</x:v>
      </x:c>
      <x:c r="E142" s="29" t="str">
        <x:v>excluded_prescreen_no_artifact_repair</x:v>
      </x:c>
      <x:c r="F142" s="29" t="str">
        <x:v>canonical prescreen excludes this record</x:v>
      </x:c>
      <x:c r="G142" s="29" t="str">
        <x:v>identity_unverified | unsegmented_proceedings_container</x:v>
      </x:c>
      <x:c r="H142" s="30" t="str">
        <x:v>https://doi.org/10.1192/j.eurpsy.2024.480</x:v>
      </x:c>
    </x:row>
    <x:row r="143" ht="105.5999984741211" hidden="0" customHeight="1">
      <x:c r="A143" s="28" t="str">
        <x:v>10.1192/j.eurpsy.2024.493</x:v>
      </x:c>
      <x:c r="B143" s="29" t="str">
        <x:v>Older Adults in Psychedelic-Assisted Therapy Trials: A Systematic Review.</x:v>
      </x:c>
      <x:c r="C143" s="29" t="str">
        <x:v>journal-article</x:v>
      </x:c>
      <x:c r="D143" s="29" t="n">
        <x:v>0</x:v>
      </x:c>
      <x:c r="E143" s="29" t="str">
        <x:v>excluded_prescreen_no_artifact_repair</x:v>
      </x:c>
      <x:c r="F143" s="29" t="str">
        <x:v>canonical prescreen excludes this record</x:v>
      </x:c>
      <x:c r="G143" s="29" t="str">
        <x:v>unsegmented_proceedings_container</x:v>
      </x:c>
      <x:c r="H143" s="30" t="str">
        <x:v>https://doi.org/10.1192/j.eurpsy.2024.493</x:v>
      </x:c>
    </x:row>
    <x:row r="144" ht="171.60000610351562" hidden="0" customHeight="1">
      <x:c r="A144" s="28" t="str">
        <x:v>10.1192/j.eurpsy.2024.717</x:v>
      </x:c>
      <x:c r="B144" s="29" t="str">
        <x:v>Half a Decade of Intravenous Ketamine Administration: Our Observation Results and Insights regarding its safety.</x:v>
      </x:c>
      <x:c r="C144" s="29" t="str">
        <x:v>journal-article</x:v>
      </x:c>
      <x:c r="D144" s="29" t="n">
        <x:v>0</x:v>
      </x:c>
      <x:c r="E144" s="29" t="str">
        <x:v>excluded_prescreen_no_artifact_repair</x:v>
      </x:c>
      <x:c r="F144" s="29" t="str">
        <x:v>canonical prescreen excludes this record</x:v>
      </x:c>
      <x:c r="G144" s="29" t="str">
        <x:v>unsegmented_proceedings_container</x:v>
      </x:c>
      <x:c r="H144" s="30" t="str">
        <x:v>https://doi.org/10.1192/j.eurpsy.2024.717</x:v>
      </x:c>
    </x:row>
    <x:row r="145" ht="171.60000610351562" hidden="0" customHeight="1">
      <x:c r="A145" s="28" t="str">
        <x:v>10.1192/j.eurpsy.2024.875</x:v>
      </x:c>
      <x:c r="B145" s="29" t="str">
        <x:v>The Effect of the Apollo Neuro Device on Anxiety Among Participants who Underwent Ketamine Assisted Therapy</x:v>
      </x:c>
      <x:c r="C145" s="29" t="str">
        <x:v>journal-article</x:v>
      </x:c>
      <x:c r="D145" s="29" t="n">
        <x:v>0</x:v>
      </x:c>
      <x:c r="E145" s="29" t="str">
        <x:v>excluded_prescreen_no_artifact_repair</x:v>
      </x:c>
      <x:c r="F145" s="29" t="str">
        <x:v>canonical prescreen excludes this record</x:v>
      </x:c>
      <x:c r="G145" s="29" t="str">
        <x:v>unsegmented_proceedings_container</x:v>
      </x:c>
      <x:c r="H145" s="30" t="str">
        <x:v>https://doi.org/10.1192/j.eurpsy.2024.875</x:v>
      </x:c>
    </x:row>
    <x:row r="146" ht="118.80000305175781" hidden="0" customHeight="1">
      <x:c r="A146" s="28" t="str">
        <x:v>10.1192/j.eurpsy.2024.988</x:v>
      </x:c>
      <x:c r="B146" s="29" t="str">
        <x:v>Substance use, anxiety and depression among Tunisian college students.</x:v>
      </x:c>
      <x:c r="C146" s="29" t="str">
        <x:v>journal-article</x:v>
      </x:c>
      <x:c r="D146" s="29" t="n">
        <x:v>0</x:v>
      </x:c>
      <x:c r="E146" s="29" t="str">
        <x:v>excluded_prescreen_no_artifact_repair</x:v>
      </x:c>
      <x:c r="F146" s="29" t="str">
        <x:v>canonical prescreen excludes this record</x:v>
      </x:c>
      <x:c r="G146" s="29" t="str">
        <x:v>unsegmented_proceedings_container</x:v>
      </x:c>
      <x:c r="H146" s="30" t="str">
        <x:v>https://doi.org/10.1192/j.eurpsy.2024.988</x:v>
      </x:c>
    </x:row>
    <x:row r="147" ht="158.39999389648438" hidden="0" customHeight="1">
      <x:c r="A147" s="28" t="str">
        <x:v>10.1192/j.eurpsy.2025.1046</x:v>
      </x:c>
      <x:c r="B147" s="29" t="str">
        <x:v>Real clinical experience of inhaled esketamine in bipolar depression. A retrospective study</x:v>
      </x:c>
      <x:c r="C147" s="29" t="str">
        <x:v>journal-article</x:v>
      </x:c>
      <x:c r="D147" s="29" t="n">
        <x:v>0</x:v>
      </x:c>
      <x:c r="E147" s="29" t="str">
        <x:v>excluded_prescreen_no_artifact_repair</x:v>
      </x:c>
      <x:c r="F147" s="29" t="str">
        <x:v>canonical prescreen excludes this record</x:v>
      </x:c>
      <x:c r="G147" s="29" t="str">
        <x:v>unsegmented_proceedings_container</x:v>
      </x:c>
      <x:c r="H147" s="30" t="str">
        <x:v>https://doi.org/10.1192/j.eurpsy.2025.1046</x:v>
      </x:c>
    </x:row>
    <x:row r="148" ht="237.60000610351562" hidden="0" customHeight="1">
      <x:c r="A148" s="28" t="str">
        <x:v>10.1192/j.eurpsy.2025.1204</x:v>
      </x:c>
      <x:c r="B148" s="29" t="str">
        <x:v>Depression and suicidal risk in autism spectrum disorder: efficacy of intranasal esketamine. Clinical experience from a public mental health service in Italy.</x:v>
      </x:c>
      <x:c r="C148" s="29" t="str">
        <x:v>journal-article</x:v>
      </x:c>
      <x:c r="D148" s="29" t="n">
        <x:v>0</x:v>
      </x:c>
      <x:c r="E148" s="29" t="str">
        <x:v>excluded_prescreen_no_artifact_repair</x:v>
      </x:c>
      <x:c r="F148" s="29" t="str">
        <x:v>canonical prescreen excludes this record</x:v>
      </x:c>
      <x:c r="G148" s="29" t="str">
        <x:v>unsegmented_proceedings_container</x:v>
      </x:c>
      <x:c r="H148" s="30" t="str">
        <x:v>https://doi.org/10.1192/j.eurpsy.2025.1204</x:v>
      </x:c>
    </x:row>
    <x:row r="149" ht="198" hidden="0" customHeight="1">
      <x:c r="A149" s="28" t="str">
        <x:v>10.1192/j.eurpsy.2025.1211</x:v>
      </x:c>
      <x:c r="B149" s="29" t="str">
        <x:v>From NMDA Receptor Antagonism to Cerebrovascular Effects: The Dual Facets of Nitrous Oxide in Bipolar Depression.</x:v>
      </x:c>
      <x:c r="C149" s="29" t="str">
        <x:v>journal-article</x:v>
      </x:c>
      <x:c r="D149" s="29" t="n">
        <x:v>0</x:v>
      </x:c>
      <x:c r="E149" s="29" t="str">
        <x:v>excluded_prescreen_no_artifact_repair</x:v>
      </x:c>
      <x:c r="F149" s="29" t="str">
        <x:v>canonical prescreen excludes this record</x:v>
      </x:c>
      <x:c r="G149" s="29" t="str">
        <x:v>unsegmented_proceedings_container</x:v>
      </x:c>
      <x:c r="H149" s="30" t="str">
        <x:v>https://doi.org/10.1192/j.eurpsy.2025.1211</x:v>
      </x:c>
    </x:row>
    <x:row r="150" ht="158.39999389648438" hidden="0" customHeight="1">
      <x:c r="A150" s="28" t="str">
        <x:v>10.1192/j.eurpsy.2025.1297</x:v>
      </x:c>
      <x:c r="B150" s="29" t="str">
        <x:v>Intranasal esketamine in treatment-resistant depression: Descriptive study of our clinical experience.</x:v>
      </x:c>
      <x:c r="C150" s="29" t="str">
        <x:v>journal-article</x:v>
      </x:c>
      <x:c r="D150" s="29" t="n">
        <x:v>0</x:v>
      </x:c>
      <x:c r="E150" s="29" t="str">
        <x:v>excluded_prescreen_no_artifact_repair</x:v>
      </x:c>
      <x:c r="F150" s="29" t="str">
        <x:v>canonical prescreen excludes this record</x:v>
      </x:c>
      <x:c r="G150" s="29" t="str">
        <x:v>unsegmented_proceedings_container</x:v>
      </x:c>
      <x:c r="H150" s="30" t="str">
        <x:v>https://doi.org/10.1192/j.eurpsy.2025.1297</x:v>
      </x:c>
    </x:row>
    <x:row r="151" ht="277.20001220703125" hidden="0" customHeight="1">
      <x:c r="A151" s="28" t="str">
        <x:v>10.1192/j.eurpsy.2025.1299</x:v>
      </x:c>
      <x:c r="B151" s="29" t="str">
        <x:v>Esketamine Nasal Spray in the Treatment of Depression: A Comprehensive Analysis of its Efficacy and Safety in 107 Patients of Sulwan Psychiatric Hospital in Kingdom of Bahrain.</x:v>
      </x:c>
      <x:c r="C151" s="29" t="str">
        <x:v>journal-article</x:v>
      </x:c>
      <x:c r="D151" s="29" t="n">
        <x:v>0</x:v>
      </x:c>
      <x:c r="E151" s="29" t="str">
        <x:v>excluded_prescreen_no_artifact_repair</x:v>
      </x:c>
      <x:c r="F151" s="29" t="str">
        <x:v>canonical prescreen excludes this record</x:v>
      </x:c>
      <x:c r="G151" s="29" t="str">
        <x:v>unsegmented_proceedings_container</x:v>
      </x:c>
      <x:c r="H151" s="30" t="str">
        <x:v>https://doi.org/10.1192/j.eurpsy.2025.1299</x:v>
      </x:c>
    </x:row>
    <x:row r="152" ht="118.80000305175781" hidden="0" customHeight="1">
      <x:c r="A152" s="28" t="str">
        <x:v>10.1192/j.eurpsy.2025.1344</x:v>
      </x:c>
      <x:c r="B152" s="29" t="str">
        <x:v>Resistant depressive disorder: electroconvulsive therapy versus esketamine.</x:v>
      </x:c>
      <x:c r="C152" s="29" t="str">
        <x:v>journal-article</x:v>
      </x:c>
      <x:c r="D152" s="29" t="n">
        <x:v>0</x:v>
      </x:c>
      <x:c r="E152" s="29" t="str">
        <x:v>excluded_prescreen_no_artifact_repair</x:v>
      </x:c>
      <x:c r="F152" s="29" t="str">
        <x:v>canonical prescreen excludes this record</x:v>
      </x:c>
      <x:c r="G152" s="29" t="str">
        <x:v>unsegmented_proceedings_container</x:v>
      </x:c>
      <x:c r="H152" s="30" t="str">
        <x:v>https://doi.org/10.1192/j.eurpsy.2025.1344</x:v>
      </x:c>
    </x:row>
    <x:row r="153" ht="158.39999389648438" hidden="0" customHeight="1">
      <x:c r="A153" s="28" t="str">
        <x:v>10.1192/j.eurpsy.2025.1360</x:v>
      </x:c>
      <x:c r="B153" s="29" t="str">
        <x:v>Metacogntive training add-on to esketamine treatment in TRD patients: effects on depressive rumination.</x:v>
      </x:c>
      <x:c r="C153" s="29" t="str">
        <x:v>journal-article</x:v>
      </x:c>
      <x:c r="D153" s="29" t="n">
        <x:v>0</x:v>
      </x:c>
      <x:c r="E153" s="29" t="str">
        <x:v>excluded_prescreen_no_artifact_repair</x:v>
      </x:c>
      <x:c r="F153" s="29" t="str">
        <x:v>canonical prescreen excludes this record</x:v>
      </x:c>
      <x:c r="G153" s="29" t="str">
        <x:v>unsegmented_proceedings_container</x:v>
      </x:c>
      <x:c r="H153" s="30" t="str">
        <x:v>https://doi.org/10.1192/j.eurpsy.2025.1360</x:v>
      </x:c>
    </x:row>
    <x:row r="154" ht="184.8000030517578" hidden="0" customHeight="1">
      <x:c r="A154" s="28" t="str">
        <x:v>10.1192/j.eurpsy.2025.1396</x:v>
      </x:c>
      <x:c r="B154" s="29" t="str">
        <x:v>Dying to be Thin: The complex relationship between Eating Disorders, Epilepsy and Treatment Resistant Depression</x:v>
      </x:c>
      <x:c r="C154" s="29" t="str">
        <x:v>article</x:v>
      </x:c>
      <x:c r="D154" s="29" t="n">
        <x:v>0</x:v>
      </x:c>
      <x:c r="E154" s="29" t="str">
        <x:v>excluded_prescreen_no_artifact_repair</x:v>
      </x:c>
      <x:c r="F154" s="29" t="str">
        <x:v>canonical prescreen excludes this record</x:v>
      </x:c>
      <x:c r="G154" s="29" t="str">
        <x:v>target_text_with_conflicting_doi | unsegmented_proceedings_container</x:v>
      </x:c>
      <x:c r="H154" s="30" t="str">
        <x:v>https://doi.org/10.1192/j.eurpsy.2025.1396</x:v>
      </x:c>
    </x:row>
    <x:row r="155" ht="211.1999969482422" hidden="0" customHeight="1">
      <x:c r="A155" s="28" t="str">
        <x:v>10.1192/j.eurpsy.2025.14</x:v>
      </x:c>
      <x:c r="B155" s="29" t="str">
        <x:v>Sleep-administered ketamine/psychedelics: A streamlined strategy to address two challenges in research on ketamine and psychedelics.</x:v>
      </x:c>
      <x:c r="C155" s="29" t="str">
        <x:v>commentary_editorial</x:v>
      </x:c>
      <x:c r="D155" s="29" t="n">
        <x:v>0</x:v>
      </x:c>
      <x:c r="E155" s="29" t="str">
        <x:v>not_retained_no_artifact_repair</x:v>
      </x:c>
      <x:c r="F155" s="29" t="str">
        <x:v>record is not currently retained after downstream screening/routing</x:v>
      </x:c>
      <x:c r="G155" s="29" t="str">
        <x:v>unsegmented_proceedings_container</x:v>
      </x:c>
      <x:c r="H155" s="30" t="str">
        <x:v>https://doi.org/10.1192/j.eurpsy.2025.14</x:v>
      </x:c>
    </x:row>
    <x:row r="156" ht="118.80000305175781" hidden="0" customHeight="1">
      <x:c r="A156" s="28" t="str">
        <x:v>10.1192/j.eurpsy.2025.1415</x:v>
      </x:c>
      <x:c r="B156" s="29" t="str">
        <x:v>Pharmacological treatments for eating disorders – How far are we from new solutions?</x:v>
      </x:c>
      <x:c r="C156" s="29" t="str">
        <x:v>journal-article</x:v>
      </x:c>
      <x:c r="D156" s="29" t="n">
        <x:v>0</x:v>
      </x:c>
      <x:c r="E156" s="29" t="str">
        <x:v>excluded_prescreen_no_artifact_repair</x:v>
      </x:c>
      <x:c r="F156" s="29" t="str">
        <x:v>canonical prescreen excludes this record</x:v>
      </x:c>
      <x:c r="G156" s="29" t="str">
        <x:v>unsegmented_proceedings_container</x:v>
      </x:c>
      <x:c r="H156" s="30" t="str">
        <x:v>https://doi.org/10.1192/j.eurpsy.2025.1415</x:v>
      </x:c>
    </x:row>
    <x:row r="157" ht="118.80000305175781" hidden="0" customHeight="1">
      <x:c r="A157" s="28" t="str">
        <x:v>10.1192/j.eurpsy.2025.2101</x:v>
      </x:c>
      <x:c r="B157" s="29" t="str">
        <x:v>MM120 demonstrates no evidence of abuse potential in rodent preclinical studies.</x:v>
      </x:c>
      <x:c r="C157" s="29" t="str">
        <x:v>journal-article</x:v>
      </x:c>
      <x:c r="D157" s="29" t="n">
        <x:v>0</x:v>
      </x:c>
      <x:c r="E157" s="29" t="str">
        <x:v>excluded_prescreen_no_artifact_repair</x:v>
      </x:c>
      <x:c r="F157" s="29" t="str">
        <x:v>canonical prescreen excludes this record</x:v>
      </x:c>
      <x:c r="G157" s="29" t="str">
        <x:v>unsegmented_proceedings_container</x:v>
      </x:c>
      <x:c r="H157" s="30" t="str">
        <x:v>https://doi.org/10.1192/j.eurpsy.2025.2101</x:v>
      </x:c>
    </x:row>
    <x:row r="158" ht="132" hidden="0" customHeight="1">
      <x:c r="A158" s="28" t="str">
        <x:v>10.1192/j.eurpsy.2025.2107</x:v>
      </x:c>
      <x:c r="B158" s="29" t="str">
        <x:v>Psychoplastogens – a risk-benefit analysis and perspectives for future research</x:v>
      </x:c>
      <x:c r="C158" s="29" t="str">
        <x:v>article</x:v>
      </x:c>
      <x:c r="D158" s="29" t="n">
        <x:v>0</x:v>
      </x:c>
      <x:c r="E158" s="29" t="str">
        <x:v>excluded_prescreen_no_artifact_repair</x:v>
      </x:c>
      <x:c r="F158" s="29" t="str">
        <x:v>canonical prescreen excludes this record</x:v>
      </x:c>
      <x:c r="G158" s="29" t="str">
        <x:v>identity_mismatch | unsegmented_proceedings_container</x:v>
      </x:c>
      <x:c r="H158" s="30" t="str">
        <x:v>https://doi.org/10.1192/j.eurpsy.2025.2107</x:v>
      </x:c>
    </x:row>
    <x:row r="159" ht="224.39999389648438" hidden="0" customHeight="1">
      <x:c r="A159" s="28" t="str">
        <x:v>10.1192/j.eurpsy.2025.273</x:v>
      </x:c>
      <x:c r="B159" s="29" t="str">
        <x:v>Effectiveness of Repeated Ketamine Infusions in Treatment Non-Responding Obsessive Compulsive Disorder: a Randomised Controlled Trial</x:v>
      </x:c>
      <x:c r="C159" s="29" t="str">
        <x:v>journal-article</x:v>
      </x:c>
      <x:c r="D159" s="29" t="n">
        <x:v>0</x:v>
      </x:c>
      <x:c r="E159" s="29" t="str">
        <x:v>excluded_prescreen_no_artifact_repair</x:v>
      </x:c>
      <x:c r="F159" s="29" t="str">
        <x:v>canonical prescreen excludes this record</x:v>
      </x:c>
      <x:c r="G159" s="29" t="str">
        <x:v>unsegmented_proceedings_container</x:v>
      </x:c>
      <x:c r="H159" s="30" t="str">
        <x:v>https://doi.org/10.1192/j.eurpsy.2025.273</x:v>
      </x:c>
    </x:row>
    <x:row r="160" ht="330" hidden="0" customHeight="1">
      <x:c r="A160" s="28" t="str">
        <x:v>10.1192/j.eurpsy.2025.347</x:v>
      </x:c>
      <x:c r="B160" s="29" t="str">
        <x:v>Difficult-to-Treat Depression: Effectiveness, Functionality, and Quality of Life—Preliminary Results from a Real-World Prospective Cohort under Esketamine Treatment in Spain after 3-Month Follow-Up</x:v>
      </x:c>
      <x:c r="C160" s="29" t="str">
        <x:v>article</x:v>
      </x:c>
      <x:c r="D160" s="29" t="n">
        <x:v>0</x:v>
      </x:c>
      <x:c r="E160" s="29" t="str">
        <x:v>excluded_prescreen_no_artifact_repair</x:v>
      </x:c>
      <x:c r="F160" s="29" t="str">
        <x:v>canonical prescreen excludes this record</x:v>
      </x:c>
      <x:c r="G160" s="29" t="str">
        <x:v>identity_mismatch | unsegmented_proceedings_container</x:v>
      </x:c>
      <x:c r="H160" s="30" t="str">
        <x:v>https://doi.org/10.1192/j.eurpsy.2025.347</x:v>
      </x:c>
    </x:row>
    <x:row r="161" ht="198" hidden="0" customHeight="1">
      <x:c r="A161" s="28" t="str">
        <x:v>10.1192/j.eurpsy.2025.350</x:v>
      </x:c>
      <x:c r="B161" s="29" t="str">
        <x:v>Response to Ketamine Therapy in Anxious and Non-Anxious Major Depressive Disorder: A Meta-Analysis of Clinical Trials.</x:v>
      </x:c>
      <x:c r="C161" s="29" t="str">
        <x:v>journal-article</x:v>
      </x:c>
      <x:c r="D161" s="29" t="n">
        <x:v>0</x:v>
      </x:c>
      <x:c r="E161" s="29" t="str">
        <x:v>excluded_prescreen_no_artifact_repair</x:v>
      </x:c>
      <x:c r="F161" s="29" t="str">
        <x:v>canonical prescreen excludes this record</x:v>
      </x:c>
      <x:c r="G161" s="29" t="str">
        <x:v>unsegmented_proceedings_container</x:v>
      </x:c>
      <x:c r="H161" s="30" t="str">
        <x:v>https://doi.org/10.1192/j.eurpsy.2025.350</x:v>
      </x:c>
    </x:row>
    <x:row r="162" ht="184.8000030517578" hidden="0" customHeight="1">
      <x:c r="A162" s="28" t="str">
        <x:v>10.1192/j.eurpsy.2025.466</x:v>
      </x:c>
      <x:c r="B162" s="29" t="str">
        <x:v>Is there a risk of addiction to ketamine during the treatment of depression? A systematic review of available literature</x:v>
      </x:c>
      <x:c r="C162" s="29" t="str">
        <x:v>article</x:v>
      </x:c>
      <x:c r="D162" s="29" t="n">
        <x:v>0</x:v>
      </x:c>
      <x:c r="E162" s="29" t="str">
        <x:v>excluded_prescreen_no_artifact_repair</x:v>
      </x:c>
      <x:c r="F162" s="29" t="str">
        <x:v>canonical prescreen excludes this record</x:v>
      </x:c>
      <x:c r="G162" s="29" t="str">
        <x:v>identity_mismatch | unsegmented_proceedings_container</x:v>
      </x:c>
      <x:c r="H162" s="30" t="str">
        <x:v>https://doi.org/10.1192/j.eurpsy.2025.466</x:v>
      </x:c>
    </x:row>
    <x:row r="163" ht="211.1999969482422" hidden="0" customHeight="1">
      <x:c r="A163" s="28" t="str">
        <x:v>10.1192/j.eurpsy.2025.471</x:v>
      </x:c>
      <x:c r="B163" s="29" t="str">
        <x:v>Antidepressant effect of ketamine unrelated to dissociation: Results from an exploratory mediation analysis of the KET01-02 study</x:v>
      </x:c>
      <x:c r="C163" s="29" t="str">
        <x:v>journal-article</x:v>
      </x:c>
      <x:c r="D163" s="29" t="n">
        <x:v>0</x:v>
      </x:c>
      <x:c r="E163" s="29" t="str">
        <x:v>excluded_prescreen_no_artifact_repair</x:v>
      </x:c>
      <x:c r="F163" s="29" t="str">
        <x:v>canonical prescreen excludes this record</x:v>
      </x:c>
      <x:c r="G163" s="29" t="str">
        <x:v>unsegmented_proceedings_container</x:v>
      </x:c>
      <x:c r="H163" s="30" t="str">
        <x:v>https://doi.org/10.1192/j.eurpsy.2025.471</x:v>
      </x:c>
    </x:row>
    <x:row r="164" ht="211.1999969482422" hidden="0" customHeight="1">
      <x:c r="A164" s="28" t="str">
        <x:v>10.1192/j.eurpsy.2025.525</x:v>
      </x:c>
      <x:c r="B164" s="29" t="str">
        <x:v>Altered resting-state functional connectivity of the salience network in patients with schizophrenia, with or without cannabis use disorder.</x:v>
      </x:c>
      <x:c r="C164" s="29" t="str">
        <x:v>journal-article</x:v>
      </x:c>
      <x:c r="D164" s="29" t="n">
        <x:v>0</x:v>
      </x:c>
      <x:c r="E164" s="29" t="str">
        <x:v>excluded_prescreen_no_artifact_repair</x:v>
      </x:c>
      <x:c r="F164" s="29" t="str">
        <x:v>canonical prescreen excludes this record</x:v>
      </x:c>
      <x:c r="G164" s="29" t="str">
        <x:v>unsegmented_proceedings_container</x:v>
      </x:c>
      <x:c r="H164" s="30" t="str">
        <x:v>https://doi.org/10.1192/j.eurpsy.2025.525</x:v>
      </x:c>
    </x:row>
    <x:row r="165" ht="237.60000610351562" hidden="0" customHeight="1">
      <x:c r="A165" s="28" t="str">
        <x:v>10.1192/j.eurpsy.2025.684</x:v>
      </x:c>
      <x:c r="B165" s="29" t="str">
        <x:v>Efficacy of Esketamine nasal spray in treatment-resistant depression: impact on depressive symptoms,hopelessness and suicide risk: A real-world evidence study.</x:v>
      </x:c>
      <x:c r="C165" s="29" t="str">
        <x:v>journal-article</x:v>
      </x:c>
      <x:c r="D165" s="29" t="n">
        <x:v>0</x:v>
      </x:c>
      <x:c r="E165" s="29" t="str">
        <x:v>excluded_prescreen_no_artifact_repair</x:v>
      </x:c>
      <x:c r="F165" s="29" t="str">
        <x:v>canonical prescreen excludes this record</x:v>
      </x:c>
      <x:c r="G165" s="29" t="str">
        <x:v>unsegmented_proceedings_container</x:v>
      </x:c>
      <x:c r="H165" s="30" t="str">
        <x:v>https://doi.org/10.1192/j.eurpsy.2025.684</x:v>
      </x:c>
    </x:row>
    <x:row r="166" ht="237.60000610351562" hidden="0" customHeight="1">
      <x:c r="A166" s="28" t="str">
        <x:v>10.1192/j.eurpsy.2025.710</x:v>
      </x:c>
      <x:c r="B166" s="29" t="str">
        <x:v>Reconsidering evidence for psychedelic-induced psychosis: An overview of reviews, a systematic review, and meta-analysis of human studies.</x:v>
      </x:c>
      <x:c r="C166" s="29" t="str">
        <x:v>journal-article</x:v>
      </x:c>
      <x:c r="D166" s="29" t="n">
        <x:v>0</x:v>
      </x:c>
      <x:c r="E166" s="29" t="str">
        <x:v>excluded_prescreen_no_artifact_repair</x:v>
      </x:c>
      <x:c r="F166" s="29" t="str">
        <x:v>canonical prescreen excludes this record</x:v>
      </x:c>
      <x:c r="G166" s="29" t="str">
        <x:v>unsegmented_proceedings_container</x:v>
      </x:c>
      <x:c r="H166" s="30" t="str">
        <x:v>https://doi.org/10.1192/j.eurpsy.2025.710</x:v>
      </x:c>
    </x:row>
    <x:row r="167" ht="250.8000030517578" hidden="0" customHeight="1">
      <x:c r="A167" s="28" t="str">
        <x:v>10.1192/j.eurpsy.2025.857</x:v>
      </x:c>
      <x:c r="B167" s="29" t="str">
        <x:v>Top-line Results from ESCAPE-LTE: An Open-Label Extension Study to Assess Long-term Safety of Esketamine Nasal Spray in Treatment Resistant Depression.</x:v>
      </x:c>
      <x:c r="C167" s="29" t="str">
        <x:v>journal-article</x:v>
      </x:c>
      <x:c r="D167" s="29" t="n">
        <x:v>0</x:v>
      </x:c>
      <x:c r="E167" s="29" t="str">
        <x:v>excluded_prescreen_no_artifact_repair</x:v>
      </x:c>
      <x:c r="F167" s="29" t="str">
        <x:v>canonical prescreen excludes this record</x:v>
      </x:c>
      <x:c r="G167" s="29" t="str">
        <x:v>unsegmented_proceedings_container</x:v>
      </x:c>
      <x:c r="H167" s="30" t="str">
        <x:v>https://doi.org/10.1192/j.eurpsy.2025.857</x:v>
      </x:c>
    </x:row>
    <x:row r="168" ht="224.39999389648438" hidden="0" customHeight="1">
      <x:c r="A168" s="28" t="str">
        <x:v>10.1192/j.eurpsy.2025.861</x:v>
      </x:c>
      <x:c r="B168" s="29" t="str">
        <x:v>Outcomes with esketamine nasal spray in patients with or without earlier partial or full response: post hoc analyses of ESCAPE TRD.</x:v>
      </x:c>
      <x:c r="C168" s="29" t="str">
        <x:v>journal-article</x:v>
      </x:c>
      <x:c r="D168" s="29" t="n">
        <x:v>0</x:v>
      </x:c>
      <x:c r="E168" s="29" t="str">
        <x:v>excluded_prescreen_no_artifact_repair</x:v>
      </x:c>
      <x:c r="F168" s="29" t="str">
        <x:v>canonical prescreen excludes this record</x:v>
      </x:c>
      <x:c r="G168" s="29" t="str">
        <x:v>unsegmented_proceedings_container</x:v>
      </x:c>
      <x:c r="H168" s="30" t="str">
        <x:v>https://doi.org/10.1192/j.eurpsy.2025.861</x:v>
      </x:c>
    </x:row>
    <x:row r="169" ht="158.39999389648438" hidden="0" customHeight="1">
      <x:c r="A169" s="28" t="str">
        <x:v>10.1192/j.eurpsy.2025.864</x:v>
      </x:c>
      <x:c r="B169" s="29" t="str">
        <x:v>Outpatient Intravenous Ketamine Protocol for Psychiatric Care at the General Hospital of Corfu</x:v>
      </x:c>
      <x:c r="C169" s="29" t="str">
        <x:v>article</x:v>
      </x:c>
      <x:c r="D169" s="29" t="n">
        <x:v>0</x:v>
      </x:c>
      <x:c r="E169" s="29" t="str">
        <x:v>excluded_prescreen_no_artifact_repair</x:v>
      </x:c>
      <x:c r="F169" s="29" t="str">
        <x:v>canonical prescreen excludes this record</x:v>
      </x:c>
      <x:c r="G169" s="29" t="str">
        <x:v>target_text_with_conflicting_doi | unsegmented_proceedings_container</x:v>
      </x:c>
      <x:c r="H169" s="30" t="str">
        <x:v>https://doi.org/10.1192/j.eurpsy.2025.864</x:v>
      </x:c>
    </x:row>
    <x:row r="170" ht="118.80000305175781" hidden="0" customHeight="1">
      <x:c r="A170" s="28" t="str">
        <x:v>10.1192/j.eurpsy.2025.926</x:v>
      </x:c>
      <x:c r="B170" s="29" t="str">
        <x:v>Psilocybin: Systematic review of its use in the treatment of depression.</x:v>
      </x:c>
      <x:c r="C170" s="29" t="str">
        <x:v>journal-article</x:v>
      </x:c>
      <x:c r="D170" s="29" t="n">
        <x:v>0</x:v>
      </x:c>
      <x:c r="E170" s="29" t="str">
        <x:v>excluded_prescreen_no_artifact_repair</x:v>
      </x:c>
      <x:c r="F170" s="29" t="str">
        <x:v>canonical prescreen excludes this record</x:v>
      </x:c>
      <x:c r="G170" s="29" t="str">
        <x:v>unsegmented_proceedings_container</x:v>
      </x:c>
      <x:c r="H170" s="30" t="str">
        <x:v>https://doi.org/10.1192/j.eurpsy.2025.926</x:v>
      </x:c>
    </x:row>
    <x:row r="171" ht="237.60000610351562" hidden="0" customHeight="1">
      <x:c r="A171" s="28" t="str">
        <x:v>10.1192/j.eurpsy.2025.969</x:v>
      </x:c>
      <x:c r="B171" s="29" t="str">
        <x:v>Efficacy of Topiramate in Treating Methamphetamine Use Disorder: A Systematic Review and Meta-Analysis of Randomized Controlled Trials</x:v>
      </x:c>
      <x:c r="C171" s="29" t="str">
        <x:v>journal-article</x:v>
      </x:c>
      <x:c r="D171" s="29" t="n">
        <x:v>0</x:v>
      </x:c>
      <x:c r="E171" s="29" t="str">
        <x:v>excluded_prescreen_no_artifact_repair</x:v>
      </x:c>
      <x:c r="F171" s="29" t="str">
        <x:v>canonical prescreen excludes this record</x:v>
      </x:c>
      <x:c r="G171" s="29" t="str">
        <x:v>unsegmented_proceedings_container</x:v>
      </x:c>
      <x:c r="H171" s="30" t="str">
        <x:v>https://doi.org/10.1192/j.eurpsy.2025.969</x:v>
      </x:c>
    </x:row>
    <x:row r="172" ht="224.39999389648438" hidden="0" customHeight="1">
      <x:c r="A172" s="28" t="str">
        <x:v>10.1210/jendso/bvaf149.1527</x:v>
      </x:c>
      <x:c r="B172" s="29" t="str">
        <x:v>SAT-044 Neurophysin I: A Reliable, Novel, and Robust Biomarker for OxytocinAn Analysis of a Double-Blind Placebo-Controlled Cross-Over Trial</x:v>
      </x:c>
      <x:c r="C172" s="29" t="str">
        <x:v>article</x:v>
      </x:c>
      <x:c r="D172" s="29" t="n">
        <x:v>0</x:v>
      </x:c>
      <x:c r="E172" s="29" t="str">
        <x:v>excluded_prescreen_no_artifact_repair</x:v>
      </x:c>
      <x:c r="F172" s="29" t="str">
        <x:v>canonical prescreen excludes this record</x:v>
      </x:c>
      <x:c r="G172" s="29" t="str">
        <x:v>target_text_with_conflicting_doi | unsegmented_proceedings_container</x:v>
      </x:c>
      <x:c r="H172" s="30" t="str">
        <x:v>https://doi.org/10.1210/jendso/bvaf149.1527</x:v>
      </x:c>
    </x:row>
    <x:row r="173" ht="171.60000610351562" hidden="0" customHeight="1">
      <x:c r="A173" s="28" t="str">
        <x:v>10.1254/fpj.102.113</x:v>
      </x:c>
      <x:c r="B173" s="29" t="str">
        <x:v>Effects of terguride, an regot alkaloid derivative, on the central nervous system: Biochemical and behavioral studies.</x:v>
      </x:c>
      <x:c r="C173" s="29" t="str">
        <x:v>primary</x:v>
      </x:c>
      <x:c r="D173" s="29" t="n">
        <x:v>0</x:v>
      </x:c>
      <x:c r="E173" s="29" t="str">
        <x:v>not_retained_no_artifact_repair</x:v>
      </x:c>
      <x:c r="F173" s="29" t="str">
        <x:v>record is not currently retained after downstream screening/routing</x:v>
      </x:c>
      <x:c r="G173" s="29" t="str">
        <x:v>identity_unverified</x:v>
      </x:c>
      <x:c r="H173" s="30" t="str">
        <x:v>https://doi.org/10.1254/fpj.102.113</x:v>
      </x:c>
    </x:row>
    <x:row r="174" ht="105.5999984741211" hidden="0" customHeight="1">
      <x:c r="A174" s="28" t="str">
        <x:v>10.1503/cmaj.1150082</x:v>
      </x:c>
      <x:c r="B174" s="29" t="str">
        <x:v>Psychedelic and nonpsychedelic LSD and psilocybin for cluster headache</x:v>
      </x:c>
      <x:c r="C174" s="29" t="str">
        <x:v>letter</x:v>
      </x:c>
      <x:c r="D174" s="29" t="n">
        <x:v>0</x:v>
      </x:c>
      <x:c r="E174" s="29" t="str">
        <x:v>excluded_prescreen_no_artifact_repair</x:v>
      </x:c>
      <x:c r="F174" s="29" t="str">
        <x:v>canonical prescreen excludes this record</x:v>
      </x:c>
      <x:c r="G174" s="29" t="str">
        <x:v>identity_unverified</x:v>
      </x:c>
      <x:c r="H174" s="30" t="str">
        <x:v>https://doi.org/10.1503/cmaj.1150082</x:v>
      </x:c>
    </x:row>
    <x:row r="175" ht="118.80000305175781" hidden="0" customHeight="1">
      <x:c r="A175" s="28" t="str">
        <x:v>10.1556/2054.2022.00200</x:v>
      </x:c>
      <x:c r="B175" s="29" t="str">
        <x:v>Psychedelic therapy for body dysmorphic disorder</x:v>
      </x:c>
      <x:c r="C175" s="29" t="str">
        <x:v>commentary_editorial</x:v>
      </x:c>
      <x:c r="D175" s="29" t="n">
        <x:v>0</x:v>
      </x:c>
      <x:c r="E175" s="29" t="str">
        <x:v>not_retained_no_artifact_repair</x:v>
      </x:c>
      <x:c r="F175" s="29" t="str">
        <x:v>record is not currently retained after downstream screening/routing</x:v>
      </x:c>
      <x:c r="G175" s="29" t="str">
        <x:v>identity_unverified</x:v>
      </x:c>
      <x:c r="H175" s="30" t="str">
        <x:v>https://doi.org/10.1556/2054.2022.00200</x:v>
      </x:c>
    </x:row>
    <x:row r="176" ht="118.80000305175781" hidden="0" customHeight="1">
      <x:c r="A176" s="28" t="str">
        <x:v>10.17345/9788484248347</x:v>
      </x:c>
      <x:c r="B176" s="29" t="str">
        <x:v>Ayahuasca: Between Cognition and Culture</x:v>
      </x:c>
      <x:c r="C176" s="29" t="str">
        <x:v>book_chapter</x:v>
      </x:c>
      <x:c r="D176" s="29" t="n">
        <x:v>0</x:v>
      </x:c>
      <x:c r="E176" s="29" t="str">
        <x:v>not_retained_no_artifact_repair</x:v>
      </x:c>
      <x:c r="F176" s="29" t="str">
        <x:v>record is not currently retained after downstream screening/routing</x:v>
      </x:c>
      <x:c r="G176" s="29" t="str">
        <x:v>identity_unverified</x:v>
      </x:c>
      <x:c r="H176" s="30" t="str">
        <x:v>https://doi.org/10.17345/9788484248347</x:v>
      </x:c>
    </x:row>
    <x:row r="177" ht="290.3999938964844" hidden="0" customHeight="1">
      <x:c r="A177" s="28" t="str">
        <x:v>10.17579/abstractbookdualdisorders-co-032</x:v>
      </x:c>
      <x:c r="B177" s="29" t="str">
        <x:v>EFFECTIVENESS AND TOLERABILITY OF INTRANASAL ESKETAMINE IN TREATMENT-RESISTANT DEPRESSION AND SUBSTANCE USE DISORDERS: SERIAL OF CLINICAL CASES</x:v>
      </x:c>
      <x:c r="C177" s="29" t="str">
        <x:v>article</x:v>
      </x:c>
      <x:c r="D177" s="29" t="n">
        <x:v>0</x:v>
      </x:c>
      <x:c r="E177" s="29" t="str">
        <x:v>excluded_prescreen_no_artifact_repair</x:v>
      </x:c>
      <x:c r="F177" s="29" t="str">
        <x:v>canonical prescreen excludes this record</x:v>
      </x:c>
      <x:c r="G177" s="29" t="str">
        <x:v>identity_mismatch | unsegmented_proceedings_container</x:v>
      </x:c>
      <x:c r="H177" s="30" t="str">
        <x:v>https://doi.org/10.17579/abstractbookdualdisorders-co-032</x:v>
      </x:c>
    </x:row>
    <x:row r="178" ht="132" hidden="0" customHeight="1">
      <x:c r="A178" s="28" t="str">
        <x:v>10.17579/abstractbookdualdisorders-p-278</x:v>
      </x:c>
      <x:c r="B178" s="29" t="str">
        <x:v>PSILOCIBINA ¿SOLUCIÓN AL TRASTORNO POR ABUSO DE ALCOHOL?</x:v>
      </x:c>
      <x:c r="C178" s="29" t="str">
        <x:v>article</x:v>
      </x:c>
      <x:c r="D178" s="29" t="n">
        <x:v>0</x:v>
      </x:c>
      <x:c r="E178" s="29" t="str">
        <x:v>excluded_prescreen_no_artifact_repair</x:v>
      </x:c>
      <x:c r="F178" s="29" t="str">
        <x:v>canonical prescreen excludes this record</x:v>
      </x:c>
      <x:c r="G178" s="29" t="str">
        <x:v>identity_mismatch | unsegmented_proceedings_container</x:v>
      </x:c>
      <x:c r="H178" s="30" t="str">
        <x:v>https://doi.org/10.17579/abstractbookdualdisorders-p-278</x:v>
      </x:c>
    </x:row>
    <x:row r="179" ht="237.60000610351562" hidden="0" customHeight="1">
      <x:c r="A179" s="28" t="str">
        <x:v>10.17579/abstractbookdualdisorders-p-284</x:v>
      </x:c>
      <x:c r="B179" s="29" t="str">
        <x:v>USO DE KETAMINA IV PARA REDUCIR EL USO DE OPIOIDES EN SÍNDROME DEL MIEMBRO FANTASMA: REVISIÓN A PROPÓSITO DE UN CASO</x:v>
      </x:c>
      <x:c r="C179" s="29" t="str">
        <x:v>article</x:v>
      </x:c>
      <x:c r="D179" s="29" t="n">
        <x:v>0</x:v>
      </x:c>
      <x:c r="E179" s="29" t="str">
        <x:v>excluded_prescreen_no_artifact_repair</x:v>
      </x:c>
      <x:c r="F179" s="29" t="str">
        <x:v>canonical prescreen excludes this record</x:v>
      </x:c>
      <x:c r="G179" s="29" t="str">
        <x:v>identity_mismatch | unsegmented_proceedings_container</x:v>
      </x:c>
      <x:c r="H179" s="30" t="str">
        <x:v>https://doi.org/10.17579/abstractbookdualdisorders-p-284</x:v>
      </x:c>
    </x:row>
    <x:row r="180" ht="211.1999969482422" hidden="0" customHeight="1">
      <x:c r="A180" s="28" t="str">
        <x:v>10.21275/v5i2.nov161215</x:v>
      </x:c>
      <x:c r="B180" s="29" t="str">
        <x:v>A Placebo Controlled Trial to Evaluate Effectivity of Pain Relief Using Ketamine with Epidural Steroids for Chronic Low Back Pain</x:v>
      </x:c>
      <x:c r="C180" s="29" t="str">
        <x:v>primary</x:v>
      </x:c>
      <x:c r="D180" s="29" t="n">
        <x:v>0</x:v>
      </x:c>
      <x:c r="E180" s="29" t="str">
        <x:v>not_retained_no_artifact_repair</x:v>
      </x:c>
      <x:c r="F180" s="29" t="str">
        <x:v>record is not currently retained after downstream screening/routing</x:v>
      </x:c>
      <x:c r="G180" s="29" t="str">
        <x:v>identity_unverified</x:v>
      </x:c>
      <x:c r="H180" s="30" t="str">
        <x:v>https://doi.org/10.21275/v5i2.nov161215</x:v>
      </x:c>
    </x:row>
    <x:row r="181" ht="145.1999969482422" hidden="0" customHeight="1">
      <x:c r="A181" s="28" t="str">
        <x:v>10.25560/55900</x:v>
      </x:c>
      <x:c r="B181" s="29" t="str">
        <x:v>The psychological and human brain effects of music in combination with psychedelic drugs</x:v>
      </x:c>
      <x:c r="C181" s="29" t="str">
        <x:v>dissertation</x:v>
      </x:c>
      <x:c r="D181" s="29" t="n">
        <x:v>0</x:v>
      </x:c>
      <x:c r="E181" s="29" t="str">
        <x:v>excluded_prescreen_no_artifact_repair</x:v>
      </x:c>
      <x:c r="F181" s="29" t="str">
        <x:v>canonical prescreen excludes this record</x:v>
      </x:c>
      <x:c r="G181" s="29" t="str">
        <x:v>identity_unverified</x:v>
      </x:c>
      <x:c r="H181" s="30" t="str">
        <x:v>https://doi.org/10.25560/55900</x:v>
      </x:c>
    </x:row>
    <x:row r="182" ht="171.60000610351562" hidden="0" customHeight="1">
      <x:c r="A182" s="28" t="str">
        <x:v>10.26686/tvwc-80bg</x:v>
      </x:c>
      <x:c r="B182" s="29" t="str">
        <x:v>Microdosing Psychedelics for Cognitive Enhancement: A Naturalistic Exploration of User Experiences</x:v>
      </x:c>
      <x:c r="C182" s="29" t="str">
        <x:v>dissertation</x:v>
      </x:c>
      <x:c r="D182" s="29" t="n">
        <x:v>0</x:v>
      </x:c>
      <x:c r="E182" s="29" t="str">
        <x:v>excluded_prescreen_no_artifact_repair</x:v>
      </x:c>
      <x:c r="F182" s="29" t="str">
        <x:v>canonical prescreen excludes this record</x:v>
      </x:c>
      <x:c r="G182" s="29" t="str">
        <x:v>identity_unverified</x:v>
      </x:c>
      <x:c r="H182" s="30" t="str">
        <x:v>https://doi.org/10.26686/tvwc-80bg</x:v>
      </x:c>
    </x:row>
    <x:row r="183" ht="145.1999969482422" hidden="0" customHeight="1">
      <x:c r="A183" s="28" t="str">
        <x:v>10.26686/wgtn.16969075.v1</x:v>
      </x:c>
      <x:c r="B183" s="29" t="str">
        <x:v>Tolerance to the Behavioural and Neurochemical Effects of MDMA Following Repeated Exposure</x:v>
      </x:c>
      <x:c r="C183" s="29" t="str">
        <x:v>dissertation</x:v>
      </x:c>
      <x:c r="D183" s="29" t="n">
        <x:v>0</x:v>
      </x:c>
      <x:c r="E183" s="29" t="str">
        <x:v>excluded_prescreen_no_artifact_repair</x:v>
      </x:c>
      <x:c r="F183" s="29" t="str">
        <x:v>canonical prescreen excludes this record</x:v>
      </x:c>
      <x:c r="G183" s="29" t="str">
        <x:v>identity_unverified</x:v>
      </x:c>
      <x:c r="H183" s="30" t="str">
        <x:v>https://doi.org/10.26686/wgtn.16969075.v1</x:v>
      </x:c>
    </x:row>
    <x:row r="184" ht="171.60000610351562" hidden="0" customHeight="1">
      <x:c r="A184" s="28" t="str">
        <x:v>10.26686/wgtn.16969174</x:v>
      </x:c>
      <x:c r="B184" s="29" t="str">
        <x:v>The role of Dopamine in the Sensitised Locomotor Activating Effects of Methylenedioxymethamphetamine (MDMA) in Rats</x:v>
      </x:c>
      <x:c r="C184" s="29" t="str">
        <x:v>dissertation</x:v>
      </x:c>
      <x:c r="D184" s="29" t="n">
        <x:v>0</x:v>
      </x:c>
      <x:c r="E184" s="29" t="str">
        <x:v>excluded_prescreen_no_artifact_repair</x:v>
      </x:c>
      <x:c r="F184" s="29" t="str">
        <x:v>canonical prescreen excludes this record</x:v>
      </x:c>
      <x:c r="G184" s="29" t="str">
        <x:v>identity_unverified</x:v>
      </x:c>
      <x:c r="H184" s="30" t="str">
        <x:v>https://doi.org/10.26686/wgtn.16969174</x:v>
      </x:c>
    </x:row>
    <x:row r="185" ht="92.4000015258789" hidden="0" customHeight="1">
      <x:c r="A185" s="28" t="str">
        <x:v>10.26686/wgtn.17008309</x:v>
      </x:c>
      <x:c r="B185" s="29" t="str">
        <x:v>The Role of Serotonin in MDMA Self-administration in Rats</x:v>
      </x:c>
      <x:c r="C185" s="29" t="str">
        <x:v>dissertation</x:v>
      </x:c>
      <x:c r="D185" s="29" t="n">
        <x:v>0</x:v>
      </x:c>
      <x:c r="E185" s="29" t="str">
        <x:v>excluded_prescreen_no_artifact_repair</x:v>
      </x:c>
      <x:c r="F185" s="29" t="str">
        <x:v>canonical prescreen excludes this record</x:v>
      </x:c>
      <x:c r="G185" s="29" t="str">
        <x:v>identity_unverified</x:v>
      </x:c>
      <x:c r="H185" s="30" t="str">
        <x:v>https://doi.org/10.26686/wgtn.17008309</x:v>
      </x:c>
    </x:row>
    <x:row r="186" ht="118.80000305175781" hidden="0" customHeight="1">
      <x:c r="A186" s="28" t="str">
        <x:v>10.26686/wgtn.17011409.v1</x:v>
      </x:c>
      <x:c r="B186" s="29" t="str">
        <x:v>Behavioural Pharmacology of Novel Kappa Opioid Compounds</x:v>
      </x:c>
      <x:c r="C186" s="29" t="str">
        <x:v>non_primary_publication</x:v>
      </x:c>
      <x:c r="D186" s="29" t="n">
        <x:v>0</x:v>
      </x:c>
      <x:c r="E186" s="29" t="str">
        <x:v>not_retained_no_artifact_repair</x:v>
      </x:c>
      <x:c r="F186" s="29" t="str">
        <x:v>record is not currently retained after downstream screening/routing</x:v>
      </x:c>
      <x:c r="G186" s="29" t="str">
        <x:v>identity_mismatch</x:v>
      </x:c>
      <x:c r="H186" s="30" t="str">
        <x:v>https://doi.org/10.26686/wgtn.17011409.v1</x:v>
      </x:c>
    </x:row>
    <x:row r="187" ht="118.80000305175781" hidden="0" customHeight="1">
      <x:c r="A187" s="28" t="str">
        <x:v>10.26686/wgtn.17013914</x:v>
      </x:c>
      <x:c r="B187" s="29" t="str">
        <x:v>Kappa Opioid Receptor Agonists: New Targets In The Treatment Of Pain</x:v>
      </x:c>
      <x:c r="C187" s="29" t="str">
        <x:v>dissertation</x:v>
      </x:c>
      <x:c r="D187" s="29" t="n">
        <x:v>0</x:v>
      </x:c>
      <x:c r="E187" s="29" t="str">
        <x:v>excluded_prescreen_no_artifact_repair</x:v>
      </x:c>
      <x:c r="F187" s="29" t="str">
        <x:v>canonical prescreen excludes this record</x:v>
      </x:c>
      <x:c r="G187" s="29" t="str">
        <x:v>identity_unverified</x:v>
      </x:c>
      <x:c r="H187" s="30" t="str">
        <x:v>https://doi.org/10.26686/wgtn.17013914</x:v>
      </x:c>
    </x:row>
    <x:row r="188" ht="105.5999984741211" hidden="0" customHeight="1">
      <x:c r="A188" s="28" t="str">
        <x:v>10.26686/wgtn.17014775.v1</x:v>
      </x:c>
      <x:c r="B188" s="29" t="str">
        <x:v>The role of 5-HT1A and 5-HT1B receptors in MDMA self-administration</x:v>
      </x:c>
      <x:c r="C188" s="29" t="str">
        <x:v>dissertation</x:v>
      </x:c>
      <x:c r="D188" s="29" t="n">
        <x:v>0</x:v>
      </x:c>
      <x:c r="E188" s="29" t="str">
        <x:v>excluded_prescreen_no_artifact_repair</x:v>
      </x:c>
      <x:c r="F188" s="29" t="str">
        <x:v>canonical prescreen excludes this record</x:v>
      </x:c>
      <x:c r="G188" s="29" t="str">
        <x:v>identity_unverified</x:v>
      </x:c>
      <x:c r="H188" s="30" t="str">
        <x:v>https://doi.org/10.26686/wgtn.17014775.v1</x:v>
      </x:c>
    </x:row>
    <x:row r="189" ht="92.4000015258789" hidden="0" customHeight="1">
      <x:c r="A189" s="28" t="str">
        <x:v>10.26686/wgtn.17068457</x:v>
      </x:c>
      <x:c r="B189" s="29" t="str">
        <x:v>ΔFosB: A Molecular Mechanism of MDMA Dependence</x:v>
      </x:c>
      <x:c r="C189" s="29" t="str">
        <x:v>dissertation</x:v>
      </x:c>
      <x:c r="D189" s="29" t="n">
        <x:v>0</x:v>
      </x:c>
      <x:c r="E189" s="29" t="str">
        <x:v>excluded_prescreen_no_artifact_repair</x:v>
      </x:c>
      <x:c r="F189" s="29" t="str">
        <x:v>canonical prescreen excludes this record</x:v>
      </x:c>
      <x:c r="G189" s="29" t="str">
        <x:v>identity_unverified</x:v>
      </x:c>
      <x:c r="H189" s="30" t="str">
        <x:v>https://doi.org/10.26686/wgtn.17068457</x:v>
      </x:c>
    </x:row>
    <x:row r="190" ht="211.1999969482422" hidden="0" customHeight="1">
      <x:c r="A190" s="28" t="str">
        <x:v>10.26686/wgtn.17148113</x:v>
      </x:c>
      <x:c r="B190" s="29" t="str">
        <x:v>Investigating the anti-cocaine effects of novel kappa opioid receptor agonists: Behavioural and cellular actions of Salvinorin A analogues</x:v>
      </x:c>
      <x:c r="C190" s="29" t="str">
        <x:v>dissertation</x:v>
      </x:c>
      <x:c r="D190" s="29" t="n">
        <x:v>0</x:v>
      </x:c>
      <x:c r="E190" s="29" t="str">
        <x:v>excluded_prescreen_no_artifact_repair</x:v>
      </x:c>
      <x:c r="F190" s="29" t="str">
        <x:v>canonical prescreen excludes this record</x:v>
      </x:c>
      <x:c r="G190" s="29" t="str">
        <x:v>identity_unverified</x:v>
      </x:c>
      <x:c r="H190" s="30" t="str">
        <x:v>https://doi.org/10.26686/wgtn.17148113</x:v>
      </x:c>
    </x:row>
    <x:row r="191" ht="184.8000030517578" hidden="0" customHeight="1">
      <x:c r="A191" s="28" t="str">
        <x:v>10.26686/wgtn.19579795</x:v>
      </x:c>
      <x:c r="B191" s="29" t="str">
        <x:v>The Therapeutic Efficacy of Psilocybin in a Preclinical Model of Depressive- and Anxiety-Like Symptomology</x:v>
      </x:c>
      <x:c r="C191" s="29" t="str">
        <x:v>dissertation</x:v>
      </x:c>
      <x:c r="D191" s="29" t="n">
        <x:v>0</x:v>
      </x:c>
      <x:c r="E191" s="29" t="str">
        <x:v>excluded_prescreen_no_artifact_repair</x:v>
      </x:c>
      <x:c r="F191" s="29" t="str">
        <x:v>canonical prescreen excludes this record</x:v>
      </x:c>
      <x:c r="G191" s="29" t="str">
        <x:v>identity_unverified</x:v>
      </x:c>
      <x:c r="H191" s="30" t="str">
        <x:v>https://doi.org/10.26686/wgtn.19579795</x:v>
      </x:c>
    </x:row>
    <x:row r="192" ht="132" hidden="0" customHeight="1">
      <x:c r="A192" s="28" t="str">
        <x:v>10.26686/wgtn.24225145</x:v>
      </x:c>
      <x:c r="B192" s="29" t="str">
        <x:v>Ibogaine as a Treatment For Alcohol Use Disorder: a Preclinical Investigation</x:v>
      </x:c>
      <x:c r="C192" s="29" t="str">
        <x:v>dissertation</x:v>
      </x:c>
      <x:c r="D192" s="29" t="n">
        <x:v>0</x:v>
      </x:c>
      <x:c r="E192" s="29" t="str">
        <x:v>excluded_prescreen_no_artifact_repair</x:v>
      </x:c>
      <x:c r="F192" s="29" t="str">
        <x:v>canonical prescreen excludes this record</x:v>
      </x:c>
      <x:c r="G192" s="29" t="str">
        <x:v>identity_unverified</x:v>
      </x:c>
      <x:c r="H192" s="30" t="str">
        <x:v>https://doi.org/10.26686/wgtn.24225145</x:v>
      </x:c>
    </x:row>
    <x:row r="193" ht="369.6000061035156" hidden="0" customHeight="1">
      <x:c r="A193" s="28" t="str">
        <x:v>10.31219/osf.io/pw8sm</x:v>
      </x:c>
      <x:c r="B193" s="29" t="str">
        <x:v>Naturalistic use of psychedelics does not modulate processing of self-related stimuli (but it might modulate attentional mechanisms): an event-related potentials study comparing non-users and experienced users of classic psychedelics</x:v>
      </x:c>
      <x:c r="C193" s="29" t="str">
        <x:v>preprint</x:v>
      </x:c>
      <x:c r="D193" s="29" t="n">
        <x:v>0</x:v>
      </x:c>
      <x:c r="E193" s="29" t="str">
        <x:v>excluded_prescreen_no_artifact_repair</x:v>
      </x:c>
      <x:c r="F193" s="29" t="str">
        <x:v>canonical prescreen excludes this record</x:v>
      </x:c>
      <x:c r="G193" s="29" t="str">
        <x:v>identity_unverified</x:v>
      </x:c>
      <x:c r="H193" s="30" t="str">
        <x:v>https://doi.org/10.31219/osf.io/pw8sm</x:v>
      </x:c>
    </x:row>
    <x:row r="194" ht="277.20001220703125" hidden="0" customHeight="1">
      <x:c r="A194" s="28" t="str">
        <x:v>10.31219/osf.io/qpx2z</x:v>
      </x:c>
      <x:c r="B194" s="29" t="str">
        <x:v>Setting the Stage for the Inner Journey: Unraveling the Interplay of Contextual Factors and the Intensity of Ego-Dissolution in Naturalistic Psychedelic Experiences</x:v>
      </x:c>
      <x:c r="C194" s="29" t="str">
        <x:v>preprint</x:v>
      </x:c>
      <x:c r="D194" s="29" t="n">
        <x:v>0</x:v>
      </x:c>
      <x:c r="E194" s="29" t="str">
        <x:v>excluded_prescreen_no_artifact_repair</x:v>
      </x:c>
      <x:c r="F194" s="29" t="str">
        <x:v>canonical prescreen excludes this record</x:v>
      </x:c>
      <x:c r="G194" s="29" t="str">
        <x:v>identity_unverified</x:v>
      </x:c>
      <x:c r="H194" s="30" t="str">
        <x:v>https://doi.org/10.31219/osf.io/qpx2z</x:v>
      </x:c>
    </x:row>
    <x:row r="195" ht="277.20001220703125" hidden="0" customHeight="1">
      <x:c r="A195" s="28" t="str">
        <x:v>10.31219/osf.io/qpx2z_v3</x:v>
      </x:c>
      <x:c r="B195" s="29" t="str">
        <x:v>Setting the Stage for the Inner Journey: Unraveling the Interplay of Contextual Factors and the Intensity of Ego-Dissolution in Naturalistic Psychedelic Experiences</x:v>
      </x:c>
      <x:c r="C195" s="29" t="str">
        <x:v>preprint</x:v>
      </x:c>
      <x:c r="D195" s="29" t="n">
        <x:v>0</x:v>
      </x:c>
      <x:c r="E195" s="29" t="str">
        <x:v>excluded_prescreen_no_artifact_repair</x:v>
      </x:c>
      <x:c r="F195" s="29" t="str">
        <x:v>canonical prescreen excludes this record</x:v>
      </x:c>
      <x:c r="G195" s="29" t="str">
        <x:v>identity_unverified</x:v>
      </x:c>
      <x:c r="H195" s="30" t="str">
        <x:v>https://doi.org/10.31219/osf.io/qpx2z_v3</x:v>
      </x:c>
    </x:row>
    <x:row r="196" ht="66" hidden="0" customHeight="1">
      <x:c r="A196" s="28" t="str">
        <x:v>10.31219/osf.io/ujtpf_v2</x:v>
      </x:c>
      <x:c r="B196" s="29" t="str">
        <x:v>Unmasking bias and MDMA-assisted therapy</x:v>
      </x:c>
      <x:c r="C196" s="29" t="str">
        <x:v>posted-content</x:v>
      </x:c>
      <x:c r="D196" s="29" t="n">
        <x:v>0</x:v>
      </x:c>
      <x:c r="E196" s="29" t="str">
        <x:v>excluded_prescreen_no_artifact_repair</x:v>
      </x:c>
      <x:c r="F196" s="29" t="str">
        <x:v>canonical prescreen excludes this record</x:v>
      </x:c>
      <x:c r="G196" s="29" t="str">
        <x:v>identity_unverified</x:v>
      </x:c>
      <x:c r="H196" s="30" t="str">
        <x:v>https://doi.org/10.31219/osf.io/ujtpf_v2</x:v>
      </x:c>
    </x:row>
    <x:row r="197" ht="92.4000015258789" hidden="0" customHeight="1">
      <x:c r="A197" s="28" t="str">
        <x:v>10.31234/osf.io/5x2bu</x:v>
      </x:c>
      <x:c r="B197" s="29" t="str">
        <x:v>Psilocybin for Depression: The ACE Model Manual</x:v>
      </x:c>
      <x:c r="C197" s="29" t="str">
        <x:v>preprint</x:v>
      </x:c>
      <x:c r="D197" s="29" t="n">
        <x:v>0</x:v>
      </x:c>
      <x:c r="E197" s="29" t="str">
        <x:v>excluded_prescreen_no_artifact_repair</x:v>
      </x:c>
      <x:c r="F197" s="29" t="str">
        <x:v>canonical prescreen excludes this record</x:v>
      </x:c>
      <x:c r="G197" s="29" t="str">
        <x:v>identity_unverified</x:v>
      </x:c>
      <x:c r="H197" s="30" t="str">
        <x:v>https://doi.org/10.31234/osf.io/5x2bu</x:v>
      </x:c>
    </x:row>
    <x:row r="198" ht="171.60000610351562" hidden="0" customHeight="1">
      <x:c r="A198" s="28" t="str">
        <x:v>10.31234/osf.io/64kyg</x:v>
      </x:c>
      <x:c r="B198" s="29" t="str">
        <x:v>Psychedelic resting-state neuroimaging: a review and perspective on balancing replication and novel analyses</x:v>
      </x:c>
      <x:c r="C198" s="29" t="str">
        <x:v>review</x:v>
      </x:c>
      <x:c r="D198" s="29" t="n">
        <x:v>0</x:v>
      </x:c>
      <x:c r="E198" s="29" t="str">
        <x:v>excluded_prescreen_no_artifact_repair</x:v>
      </x:c>
      <x:c r="F198" s="29" t="str">
        <x:v>canonical prescreen excludes this record</x:v>
      </x:c>
      <x:c r="G198" s="29" t="str">
        <x:v>identity_unverified</x:v>
      </x:c>
      <x:c r="H198" s="30" t="str">
        <x:v>https://doi.org/10.31234/osf.io/64kyg</x:v>
      </x:c>
    </x:row>
    <x:row r="199" ht="145.1999969482422" hidden="0" customHeight="1">
      <x:c r="A199" s="28" t="str">
        <x:v>10.31234/osf.io/65se9</x:v>
      </x:c>
      <x:c r="B199" s="29" t="str">
        <x:v>Ayahuasca in the treatment of bipolar disorder with psychotic features–A retrospective case study</x:v>
      </x:c>
      <x:c r="C199" s="29" t="str">
        <x:v>preprint</x:v>
      </x:c>
      <x:c r="D199" s="29" t="n">
        <x:v>0</x:v>
      </x:c>
      <x:c r="E199" s="29" t="str">
        <x:v>excluded_prescreen_no_artifact_repair</x:v>
      </x:c>
      <x:c r="F199" s="29" t="str">
        <x:v>canonical prescreen excludes this record</x:v>
      </x:c>
      <x:c r="G199" s="29" t="str">
        <x:v>identity_unverified</x:v>
      </x:c>
      <x:c r="H199" s="30" t="str">
        <x:v>https://doi.org/10.31234/osf.io/65se9</x:v>
      </x:c>
    </x:row>
    <x:row r="200" ht="132" hidden="0" customHeight="1">
      <x:c r="A200" s="28" t="str">
        <x:v>10.31234/osf.io/7x8q4_v3</x:v>
      </x:c>
      <x:c r="B200" s="29" t="str">
        <x:v>Visual Hallucinations in Serotonergic Psychedelics and Lewy Body Diseases</x:v>
      </x:c>
      <x:c r="C200" s="29" t="str">
        <x:v>posted-content</x:v>
      </x:c>
      <x:c r="D200" s="29" t="n">
        <x:v>0</x:v>
      </x:c>
      <x:c r="E200" s="29" t="str">
        <x:v>excluded_prescreen_no_artifact_repair</x:v>
      </x:c>
      <x:c r="F200" s="29" t="str">
        <x:v>canonical prescreen excludes this record</x:v>
      </x:c>
      <x:c r="G200" s="29" t="str">
        <x:v>identity_unverified</x:v>
      </x:c>
      <x:c r="H200" s="30" t="str">
        <x:v>https://doi.org/10.31234/osf.io/7x8q4_v3</x:v>
      </x:c>
    </x:row>
    <x:row r="201" ht="158.39999389648438" hidden="0" customHeight="1">
      <x:c r="A201" s="28" t="str">
        <x:v>10.31234/osf.io/9yxwp</x:v>
      </x:c>
      <x:c r="B201" s="29" t="str">
        <x:v>Psychedelic therapy in practice. Case studies of self-treatment, individual therapy, and group therapy</x:v>
      </x:c>
      <x:c r="C201" s="29" t="str">
        <x:v>preprint</x:v>
      </x:c>
      <x:c r="D201" s="29" t="n">
        <x:v>0</x:v>
      </x:c>
      <x:c r="E201" s="29" t="str">
        <x:v>excluded_prescreen_no_artifact_repair</x:v>
      </x:c>
      <x:c r="F201" s="29" t="str">
        <x:v>canonical prescreen excludes this record</x:v>
      </x:c>
      <x:c r="G201" s="29" t="str">
        <x:v>identity_mismatch</x:v>
      </x:c>
      <x:c r="H201" s="30" t="str">
        <x:v>https://doi.org/10.31234/osf.io/9yxwp</x:v>
      </x:c>
    </x:row>
    <x:row r="202" ht="158.39999389648438" hidden="0" customHeight="1">
      <x:c r="A202" s="28" t="str">
        <x:v>10.31234/osf.io/9yxwp_v2</x:v>
      </x:c>
      <x:c r="B202" s="29" t="str">
        <x:v>Psychedelic therapy in practice. Case studies of self-treatment, individual therapy, and group therapy</x:v>
      </x:c>
      <x:c r="C202" s="29" t="str">
        <x:v>posted-content</x:v>
      </x:c>
      <x:c r="D202" s="29" t="n">
        <x:v>0</x:v>
      </x:c>
      <x:c r="E202" s="29" t="str">
        <x:v>excluded_prescreen_no_artifact_repair</x:v>
      </x:c>
      <x:c r="F202" s="29" t="str">
        <x:v>canonical prescreen excludes this record</x:v>
      </x:c>
      <x:c r="G202" s="29" t="str">
        <x:v>identity_mismatch</x:v>
      </x:c>
      <x:c r="H202" s="30" t="str">
        <x:v>https://doi.org/10.31234/osf.io/9yxwp_v2</x:v>
      </x:c>
    </x:row>
    <x:row r="203" ht="132" hidden="0" customHeight="1">
      <x:c r="A203" s="28" t="str">
        <x:v>10.31234/osf.io/ak6gx</x:v>
      </x:c>
      <x:c r="B203" s="29" t="str">
        <x:v>History repeating: A roadmap to address common problems in psychedelic science</x:v>
      </x:c>
      <x:c r="C203" s="29" t="str">
        <x:v>preprint</x:v>
      </x:c>
      <x:c r="D203" s="29" t="n">
        <x:v>0</x:v>
      </x:c>
      <x:c r="E203" s="29" t="str">
        <x:v>excluded_prescreen_no_artifact_repair</x:v>
      </x:c>
      <x:c r="F203" s="29" t="str">
        <x:v>canonical prescreen excludes this record</x:v>
      </x:c>
      <x:c r="G203" s="29" t="str">
        <x:v>identity_unverified</x:v>
      </x:c>
      <x:c r="H203" s="30" t="str">
        <x:v>https://doi.org/10.31234/osf.io/ak6gx</x:v>
      </x:c>
    </x:row>
    <x:row r="204" ht="184.8000030517578" hidden="0" customHeight="1">
      <x:c r="A204" s="28" t="str">
        <x:v>10.31234/osf.io/aps5g_v3</x:v>
      </x:c>
      <x:c r="B204" s="29" t="str">
        <x:v>Open MDMA: An Evidence-Based Mixed-Methods Review, Theoretical Framework, and Manual for MDMA Therapy</x:v>
      </x:c>
      <x:c r="C204" s="29" t="str">
        <x:v>posted-content</x:v>
      </x:c>
      <x:c r="D204" s="29" t="n">
        <x:v>0</x:v>
      </x:c>
      <x:c r="E204" s="29" t="str">
        <x:v>excluded_prescreen_no_artifact_repair</x:v>
      </x:c>
      <x:c r="F204" s="29" t="str">
        <x:v>canonical prescreen excludes this record</x:v>
      </x:c>
      <x:c r="G204" s="29" t="str">
        <x:v>identity_mismatch</x:v>
      </x:c>
      <x:c r="H204" s="30" t="str">
        <x:v>https://doi.org/10.31234/osf.io/aps5g_v3</x:v>
      </x:c>
    </x:row>
    <x:row r="205" ht="250.8000030517578" hidden="0" customHeight="1">
      <x:c r="A205" s="28" t="str">
        <x:v>10.31234/osf.io/aps5g_v4</x:v>
      </x:c>
      <x:c r="B205" s="29" t="str">
        <x:v>Open MDMA: An Evidence-Based Synthesis, Theory, and Manual for MDMA Therapy Based on Predictive Processing, Complex Systems, and the Defense Cascade</x:v>
      </x:c>
      <x:c r="C205" s="29" t="str">
        <x:v>preprint</x:v>
      </x:c>
      <x:c r="D205" s="29" t="n">
        <x:v>0</x:v>
      </x:c>
      <x:c r="E205" s="29" t="str">
        <x:v>excluded_prescreen_no_artifact_repair</x:v>
      </x:c>
      <x:c r="F205" s="29" t="str">
        <x:v>canonical prescreen excludes this record</x:v>
      </x:c>
      <x:c r="G205" s="29" t="str">
        <x:v>identity_mismatch</x:v>
      </x:c>
      <x:c r="H205" s="30" t="str">
        <x:v>https://doi.org/10.31234/osf.io/aps5g_v4</x:v>
      </x:c>
    </x:row>
    <x:row r="206" ht="250.8000030517578" hidden="0" customHeight="1">
      <x:c r="A206" s="28" t="str">
        <x:v>10.31234/osf.io/b6tvz_v1</x:v>
      </x:c>
      <x:c r="B206" s="29" t="str">
        <x:v>Psychometric validation of the Dutch translations of the Psychological Insight Questionnaire, the Psychological Insight Scale, and the Emotional Breakthrough Inventory</x:v>
      </x:c>
      <x:c r="C206" s="29" t="str">
        <x:v>preprint</x:v>
      </x:c>
      <x:c r="D206" s="29" t="n">
        <x:v>0</x:v>
      </x:c>
      <x:c r="E206" s="29" t="str">
        <x:v>excluded_prescreen_no_artifact_repair</x:v>
      </x:c>
      <x:c r="F206" s="29" t="str">
        <x:v>canonical prescreen excludes this record</x:v>
      </x:c>
      <x:c r="G206" s="29" t="str">
        <x:v>identity_unverified</x:v>
      </x:c>
      <x:c r="H206" s="30" t="str">
        <x:v>https://doi.org/10.31234/osf.io/b6tvz_v1</x:v>
      </x:c>
    </x:row>
    <x:row r="207" ht="211.1999969482422" hidden="0" customHeight="1">
      <x:c r="A207" s="28" t="str">
        <x:v>10.31234/osf.io/ba42z</x:v>
      </x:c>
      <x:c r="B207" s="29" t="str">
        <x:v>Yale Program for Psychedelic Science (YPPS) Manual for Psilocybin Combined with Non-Directive Support in the Treatment of OCD</x:v>
      </x:c>
      <x:c r="C207" s="29" t="str">
        <x:v>preprint</x:v>
      </x:c>
      <x:c r="D207" s="29" t="n">
        <x:v>0</x:v>
      </x:c>
      <x:c r="E207" s="29" t="str">
        <x:v>excluded_prescreen_no_artifact_repair</x:v>
      </x:c>
      <x:c r="F207" s="29" t="str">
        <x:v>canonical prescreen excludes this record</x:v>
      </x:c>
      <x:c r="G207" s="29" t="str">
        <x:v>identity_unverified</x:v>
      </x:c>
      <x:c r="H207" s="30" t="str">
        <x:v>https://doi.org/10.31234/osf.io/ba42z</x:v>
      </x:c>
    </x:row>
    <x:row r="208" ht="198" hidden="0" customHeight="1">
      <x:c r="A208" s="28" t="str">
        <x:v>10.31234/osf.io/my7ba</x:v>
      </x:c>
      <x:c r="B208" s="29" t="str">
        <x:v>Self-treatment of psychosis and complex post-traumatic stress disorder with LSD and DMT—A retrospective case study</x:v>
      </x:c>
      <x:c r="C208" s="29" t="str">
        <x:v>preprint</x:v>
      </x:c>
      <x:c r="D208" s="29" t="n">
        <x:v>0</x:v>
      </x:c>
      <x:c r="E208" s="29" t="str">
        <x:v>excluded_prescreen_no_artifact_repair</x:v>
      </x:c>
      <x:c r="F208" s="29" t="str">
        <x:v>canonical prescreen excludes this record</x:v>
      </x:c>
      <x:c r="G208" s="29" t="str">
        <x:v>identity_mismatch</x:v>
      </x:c>
      <x:c r="H208" s="30" t="str">
        <x:v>https://doi.org/10.31234/osf.io/my7ba</x:v>
      </x:c>
    </x:row>
    <x:row r="209" ht="79.19999694824219" hidden="0" customHeight="1">
      <x:c r="A209" s="28" t="str">
        <x:v>10.31234/osf.io/pefct_v1</x:v>
      </x:c>
      <x:c r="B209" s="29" t="str">
        <x:v>Ayahuasca revisited. Case studies &amp; observations</x:v>
      </x:c>
      <x:c r="C209" s="29" t="str">
        <x:v>posted-content</x:v>
      </x:c>
      <x:c r="D209" s="29" t="n">
        <x:v>0</x:v>
      </x:c>
      <x:c r="E209" s="29" t="str">
        <x:v>excluded_prescreen_no_artifact_repair</x:v>
      </x:c>
      <x:c r="F209" s="29" t="str">
        <x:v>canonical prescreen excludes this record</x:v>
      </x:c>
      <x:c r="G209" s="29" t="str">
        <x:v>identity_mismatch</x:v>
      </x:c>
      <x:c r="H209" s="30" t="str">
        <x:v>https://doi.org/10.31234/osf.io/pefct_v1</x:v>
      </x:c>
    </x:row>
    <x:row r="210" ht="52.79999923706055" hidden="0" customHeight="1">
      <x:c r="A210" s="28" t="str">
        <x:v>10.31234/osf.io/vhs4a_v1</x:v>
      </x:c>
      <x:c r="B210" s="29" t="str">
        <x:v>WITHDRAWN</x:v>
      </x:c>
      <x:c r="C210" s="29" t="str">
        <x:v>posted-content</x:v>
      </x:c>
      <x:c r="D210" s="29" t="n">
        <x:v>0</x:v>
      </x:c>
      <x:c r="E210" s="29" t="str">
        <x:v>excluded_prescreen_no_artifact_repair</x:v>
      </x:c>
      <x:c r="F210" s="29" t="str">
        <x:v>canonical prescreen excludes this record</x:v>
      </x:c>
      <x:c r="G210" s="29" t="str">
        <x:v>identity_mismatch</x:v>
      </x:c>
      <x:c r="H210" s="30" t="str">
        <x:v>https://doi.org/10.31234/osf.io/vhs4a_v1</x:v>
      </x:c>
    </x:row>
    <x:row r="211" ht="145.1999969482422" hidden="0" customHeight="1">
      <x:c r="A211" s="28" t="str">
        <x:v>10.31234/osf.io/yjx5d</x:v>
      </x:c>
      <x:c r="B211" s="29" t="str">
        <x:v>Recreational Use of Psychedelics at Music Festivals: Motivation, Nature of Experiences and Learnings</x:v>
      </x:c>
      <x:c r="C211" s="29" t="str">
        <x:v>preprint</x:v>
      </x:c>
      <x:c r="D211" s="29" t="n">
        <x:v>0</x:v>
      </x:c>
      <x:c r="E211" s="29" t="str">
        <x:v>excluded_prescreen_no_artifact_repair</x:v>
      </x:c>
      <x:c r="F211" s="29" t="str">
        <x:v>canonical prescreen excludes this record</x:v>
      </x:c>
      <x:c r="G211" s="29" t="str">
        <x:v>identity_unverified</x:v>
      </x:c>
      <x:c r="H211" s="30" t="str">
        <x:v>https://doi.org/10.31234/osf.io/yjx5d</x:v>
      </x:c>
    </x:row>
    <x:row r="212" ht="158.39999389648438" hidden="0" customHeight="1">
      <x:c r="A212" s="28" t="str">
        <x:v>10.31234/osf.io/yzmcj</x:v>
      </x:c>
      <x:c r="B212" s="29" t="str">
        <x:v>Focusing on the negative: cases of long-term negative psychological responses to psychedelics</x:v>
      </x:c>
      <x:c r="C212" s="29" t="str">
        <x:v>preprint</x:v>
      </x:c>
      <x:c r="D212" s="29" t="n">
        <x:v>0</x:v>
      </x:c>
      <x:c r="E212" s="29" t="str">
        <x:v>excluded_prescreen_no_artifact_repair</x:v>
      </x:c>
      <x:c r="F212" s="29" t="str">
        <x:v>canonical prescreen excludes this record</x:v>
      </x:c>
      <x:c r="G212" s="29" t="str">
        <x:v>identity_unverified</x:v>
      </x:c>
      <x:c r="H212" s="30" t="str">
        <x:v>https://doi.org/10.31234/osf.io/yzmcj</x:v>
      </x:c>
    </x:row>
    <x:row r="213" ht="132" hidden="0" customHeight="1">
      <x:c r="A213" s="28" t="str">
        <x:v>10.31986/issn.2689-0690_rdw.stratford_research_day.149_2024</x:v>
      </x:c>
      <x:c r="B213" s="29" t="str">
        <x:v>Efficacy of Psilocybin in the Treatment of Substance and Alcohol Use Disorders</x:v>
      </x:c>
      <x:c r="C213" s="29" t="str">
        <x:v>article</x:v>
      </x:c>
      <x:c r="D213" s="29" t="n">
        <x:v>0</x:v>
      </x:c>
      <x:c r="E213" s="29" t="str">
        <x:v>excluded_prescreen_no_artifact_repair</x:v>
      </x:c>
      <x:c r="F213" s="29" t="str">
        <x:v>canonical prescreen excludes this record</x:v>
      </x:c>
      <x:c r="G213" s="29" t="str">
        <x:v>identity_unverified | unsegmented_proceedings_container</x:v>
      </x:c>
      <x:c r="H213" s="30" t="str">
        <x:v>https://doi.org/10.31986/issn.2689-0690_rdw.stratford_research_day.149_2024</x:v>
      </x:c>
    </x:row>
    <x:row r="214" ht="52.79999923706055" hidden="0" customHeight="1">
      <x:c r="A214" s="28" t="str">
        <x:v>10.32388/pctl2o</x:v>
      </x:c>
      <x:c r="B214" s="29" t="str">
        <x:v>SLC18A2 Gene</x:v>
      </x:c>
      <x:c r="C214" s="29" t="str">
        <x:v>reference-entry</x:v>
      </x:c>
      <x:c r="D214" s="29" t="n">
        <x:v>0</x:v>
      </x:c>
      <x:c r="E214" s="29" t="str">
        <x:v>excluded_prescreen_no_artifact_repair</x:v>
      </x:c>
      <x:c r="F214" s="29" t="str">
        <x:v>canonical prescreen excludes this record</x:v>
      </x:c>
      <x:c r="G214" s="29" t="str">
        <x:v>identity_unverified</x:v>
      </x:c>
      <x:c r="H214" s="30" t="str">
        <x:v>https://doi.org/10.32388/pctl2o</x:v>
      </x:c>
    </x:row>
    <x:row r="215" ht="184.8000030517578" hidden="0" customHeight="1">
      <x:c r="A215" s="28" t="str">
        <x:v>10.32592/yafteh.2024.26.3.45</x:v>
      </x:c>
      <x:c r="B215" s="29" t="str">
        <x:v>Investigating the analgesic effects of Adalimumab in chronic constriction injury (CCI) experimental pain model in rats</x:v>
      </x:c>
      <x:c r="C215" s="29" t="str">
        <x:v>article</x:v>
      </x:c>
      <x:c r="D215" s="29" t="n">
        <x:v>0</x:v>
      </x:c>
      <x:c r="E215" s="29" t="str">
        <x:v>excluded_prescreen_no_artifact_repair</x:v>
      </x:c>
      <x:c r="F215" s="29" t="str">
        <x:v>canonical prescreen excludes this record</x:v>
      </x:c>
      <x:c r="G215" s="29" t="str">
        <x:v>identity_unverified</x:v>
      </x:c>
      <x:c r="H215" s="30" t="str">
        <x:v>https://doi.org/10.32592/yafteh.2024.26.3.45</x:v>
      </x:c>
    </x:row>
    <x:row r="216" ht="237.60000610351562" hidden="0" customHeight="1">
      <x:c r="A216" s="28" t="str">
        <x:v>10.33015/dominican.edu/2024.nurs.rp.19</x:v>
      </x:c>
      <x:c r="B216" s="29" t="str">
        <x:v>The Comparative Therapeutic Effects of Psilocybin Treatment and Antidepressant Medications in Adults Diagnosed with Depression</x:v>
      </x:c>
      <x:c r="C216" s="29" t="str">
        <x:v>preprint</x:v>
      </x:c>
      <x:c r="D216" s="29" t="n">
        <x:v>0</x:v>
      </x:c>
      <x:c r="E216" s="29" t="str">
        <x:v>excluded_prescreen_no_artifact_repair</x:v>
      </x:c>
      <x:c r="F216" s="29" t="str">
        <x:v>canonical prescreen excludes this record</x:v>
      </x:c>
      <x:c r="G216" s="29" t="str">
        <x:v>target_text_with_conflicting_doi</x:v>
      </x:c>
      <x:c r="H216" s="30" t="str">
        <x:v>https://doi.org/10.33015/dominican.edu/2024.nurs.rp.19</x:v>
      </x:c>
    </x:row>
    <x:row r="217" ht="198" hidden="0" customHeight="1">
      <x:c r="A217" s="28" t="str">
        <x:v>10.3389/conf.fnins.2019.96.00055</x:v>
      </x:c>
      <x:c r="B217" s="29" t="str">
        <x:v>Trace amine associate receptor 1 (TAAR1) as a new target for the treatment of cognitive dysfunction in Alzheimer disease</x:v>
      </x:c>
      <x:c r="C217" s="29" t="str">
        <x:v>article</x:v>
      </x:c>
      <x:c r="D217" s="29" t="n">
        <x:v>0</x:v>
      </x:c>
      <x:c r="E217" s="29" t="str">
        <x:v>excluded_prescreen_no_artifact_repair</x:v>
      </x:c>
      <x:c r="F217" s="29" t="str">
        <x:v>canonical prescreen excludes this record</x:v>
      </x:c>
      <x:c r="G217" s="29" t="str">
        <x:v>identity_unverified</x:v>
      </x:c>
      <x:c r="H217" s="30" t="str">
        <x:v>https://doi.org/10.3389/conf.fnins.2019.96.00055</x:v>
      </x:c>
    </x:row>
    <x:row r="218" ht="66" hidden="0" customHeight="1">
      <x:c r="A218" s="28" t="str">
        <x:v>10.3389/fcvm.2017.00048</x:v>
      </x:c>
      <x:c r="B218" s="29" t="str">
        <x:v>The Effects of Serotonin in Immune Cells</x:v>
      </x:c>
      <x:c r="C218" s="29" t="str">
        <x:v>review</x:v>
      </x:c>
      <x:c r="D218" s="29" t="n">
        <x:v>0</x:v>
      </x:c>
      <x:c r="E218" s="29" t="str">
        <x:v>excluded_prescreen_no_artifact_repair</x:v>
      </x:c>
      <x:c r="F218" s="29" t="str">
        <x:v>canonical prescreen excludes this record</x:v>
      </x:c>
      <x:c r="G218" s="29" t="str">
        <x:v>identity_mismatch</x:v>
      </x:c>
      <x:c r="H218" s="30" t="str">
        <x:v>https://doi.org/10.3389/fcvm.2017.00048</x:v>
      </x:c>
    </x:row>
    <x:row r="219" ht="237.60000610351562" hidden="0" customHeight="1">
      <x:c r="A219" s="28" t="str">
        <x:v>10.3389/fimmu.2023.1102312</x:v>
      </x:c>
      <x:c r="B219" s="29" t="str">
        <x:v>Dual roles of anesthetics in postoperative cognitive dysfunction: Regulation of microglial activation through inflammatory signaling pathways</x:v>
      </x:c>
      <x:c r="C219" s="29" t="str">
        <x:v>review</x:v>
      </x:c>
      <x:c r="D219" s="29" t="n">
        <x:v>0</x:v>
      </x:c>
      <x:c r="E219" s="29" t="str">
        <x:v>excluded_prescreen_no_artifact_repair</x:v>
      </x:c>
      <x:c r="F219" s="29" t="str">
        <x:v>canonical prescreen excludes this record</x:v>
      </x:c>
      <x:c r="G219" s="29" t="str">
        <x:v>identity_unverified</x:v>
      </x:c>
      <x:c r="H219" s="30" t="str">
        <x:v>https://doi.org/10.3389/fimmu.2023.1102312</x:v>
      </x:c>
    </x:row>
    <x:row r="220" ht="184.8000030517578" hidden="0" customHeight="1">
      <x:c r="A220" s="28" t="str">
        <x:v>10.3389/fneur.2022.1034243</x:v>
      </x:c>
      <x:c r="B220" s="29" t="str">
        <x:v>Promising candidates from drug clinical trials: Implications for clinical treatment of Alzheimer's disease in China</x:v>
      </x:c>
      <x:c r="C220" s="29" t="str">
        <x:v>review</x:v>
      </x:c>
      <x:c r="D220" s="29" t="n">
        <x:v>0</x:v>
      </x:c>
      <x:c r="E220" s="29" t="str">
        <x:v>excluded_prescreen_no_artifact_repair</x:v>
      </x:c>
      <x:c r="F220" s="29" t="str">
        <x:v>canonical prescreen excludes this record</x:v>
      </x:c>
      <x:c r="G220" s="29" t="str">
        <x:v>identity_unverified</x:v>
      </x:c>
      <x:c r="H220" s="30" t="str">
        <x:v>https://doi.org/10.3389/fneur.2022.1034243</x:v>
      </x:c>
    </x:row>
    <x:row r="221" ht="184.8000030517578" hidden="0" customHeight="1">
      <x:c r="A221" s="28" t="str">
        <x:v>10.3389/fpsyt.2022.954388</x:v>
      </x:c>
      <x:c r="B221" s="29" t="str">
        <x:v>Study protocol for “MDMA-assisted therapy as a treatment for major depressive disorder: A proof of principle study”</x:v>
      </x:c>
      <x:c r="C221" s="29" t="str">
        <x:v>article</x:v>
      </x:c>
      <x:c r="D221" s="29" t="n">
        <x:v>0</x:v>
      </x:c>
      <x:c r="E221" s="29" t="str">
        <x:v>excluded_prescreen_no_artifact_repair</x:v>
      </x:c>
      <x:c r="F221" s="29" t="str">
        <x:v>canonical prescreen excludes this record</x:v>
      </x:c>
      <x:c r="G221" s="29" t="str">
        <x:v>identity_unverified</x:v>
      </x:c>
      <x:c r="H221" s="30" t="str">
        <x:v>https://doi.org/10.3389/fpsyt.2022.954388</x:v>
      </x:c>
    </x:row>
    <x:row r="222" ht="145.1999969482422" hidden="0" customHeight="1">
      <x:c r="A222" s="28" t="str">
        <x:v>10.34626/n9hp-ar70</x:v>
      </x:c>
      <x:c r="B222" s="29" t="str">
        <x:v>Estudo in silico da relação estrutura-actividade de piperazinas nos receptores 5-HT1A e 5-HT2A</x:v>
      </x:c>
      <x:c r="C222" s="29" t="str">
        <x:v>dissertation</x:v>
      </x:c>
      <x:c r="D222" s="29" t="n">
        <x:v>0</x:v>
      </x:c>
      <x:c r="E222" s="29" t="str">
        <x:v>excluded_prescreen_no_artifact_repair</x:v>
      </x:c>
      <x:c r="F222" s="29" t="str">
        <x:v>canonical prescreen excludes this record</x:v>
      </x:c>
      <x:c r="G222" s="29" t="str">
        <x:v>identity_unverified</x:v>
      </x:c>
      <x:c r="H222" s="30" t="str">
        <x:v>https://doi.org/10.34626/n9hp-ar70</x:v>
      </x:c>
    </x:row>
    <x:row r="223" ht="171.60000610351562" hidden="0" customHeight="1">
      <x:c r="A223" s="28" t="str">
        <x:v>10.3923/ijp.2011.471.477</x:v>
      </x:c>
      <x:c r="B223" s="29" t="str">
        <x:v>Biochemical and Histological Responses of Hepatotoxic Rats Fed Musa paradisiaca L. Supplemented Diet</x:v>
      </x:c>
      <x:c r="C223" s="29" t="str">
        <x:v>other_non_primary</x:v>
      </x:c>
      <x:c r="D223" s="29" t="n">
        <x:v>0</x:v>
      </x:c>
      <x:c r="E223" s="29" t="str">
        <x:v>not_retained_no_artifact_repair</x:v>
      </x:c>
      <x:c r="F223" s="29" t="str">
        <x:v>record is not currently retained after downstream screening/routing</x:v>
      </x:c>
      <x:c r="G223" s="29" t="str">
        <x:v>identity_unverified</x:v>
      </x:c>
      <x:c r="H223" s="30" t="str">
        <x:v>https://doi.org/10.3923/ijp.2011.471.477</x:v>
      </x:c>
    </x:row>
    <x:row r="224" ht="132" hidden="0" customHeight="1">
      <x:c r="A224" s="28" t="str">
        <x:v>10.5040/9781350231641.ch-013</x:v>
      </x:c>
      <x:c r="B224" s="29" t="str">
        <x:v>The White Sun of Substance: Spinozism and the Psychedelic amor Dei intellectualis</x:v>
      </x:c>
      <x:c r="C224" s="29" t="str">
        <x:v>book-chapter</x:v>
      </x:c>
      <x:c r="D224" s="29" t="n">
        <x:v>0</x:v>
      </x:c>
      <x:c r="E224" s="29" t="str">
        <x:v>excluded_prescreen_no_artifact_repair</x:v>
      </x:c>
      <x:c r="F224" s="29" t="str">
        <x:v>canonical prescreen excludes this record</x:v>
      </x:c>
      <x:c r="G224" s="29" t="str">
        <x:v>identity_unverified</x:v>
      </x:c>
      <x:c r="H224" s="30" t="str">
        <x:v>https://doi.org/10.5040/9781350231641.ch-013</x:v>
      </x:c>
    </x:row>
    <x:row r="225" ht="277.20001220703125" hidden="0" customHeight="1">
      <x:c r="A225" s="28" t="str">
        <x:v>10.53846/goediss-2111</x:v>
      </x:c>
      <x:c r="B225" s="29" t="str">
        <x:v>Tryptamines as Ligands and Modulators of the Serotonin 5‑HT2A Receptor and the Isolation of Aeruginascin from the Hallucinogenic Mushroom Inocybe aeruginascens</x:v>
      </x:c>
      <x:c r="C225" s="29" t="str">
        <x:v>dissertation</x:v>
      </x:c>
      <x:c r="D225" s="29" t="n">
        <x:v>0</x:v>
      </x:c>
      <x:c r="E225" s="29" t="str">
        <x:v>excluded_prescreen_no_artifact_repair</x:v>
      </x:c>
      <x:c r="F225" s="29" t="str">
        <x:v>canonical prescreen excludes this record</x:v>
      </x:c>
      <x:c r="G225" s="29" t="str">
        <x:v>identity_unverified</x:v>
      </x:c>
      <x:c r="H225" s="30" t="str">
        <x:v>https://doi.org/10.53846/goediss-2111</x:v>
      </x:c>
    </x:row>
    <x:row r="226" ht="92.4000015258789" hidden="0" customHeight="1">
      <x:c r="A226" s="28" t="str">
        <x:v>10.5451/unibas-006616893</x:v>
      </x:c>
      <x:c r="B226" s="29" t="str">
        <x:v>Pharmacology of novel psychoactive substances</x:v>
      </x:c>
      <x:c r="C226" s="29" t="str">
        <x:v>dissertation</x:v>
      </x:c>
      <x:c r="D226" s="29" t="n">
        <x:v>0</x:v>
      </x:c>
      <x:c r="E226" s="29" t="str">
        <x:v>excluded_prescreen_no_artifact_repair</x:v>
      </x:c>
      <x:c r="F226" s="29" t="str">
        <x:v>canonical prescreen excludes this record</x:v>
      </x:c>
      <x:c r="G226" s="29" t="str">
        <x:v>identity_mismatch</x:v>
      </x:c>
      <x:c r="H226" s="30" t="str">
        <x:v>https://doi.org/10.5451/unibas-006616893</x:v>
      </x:c>
    </x:row>
    <x:row r="227" ht="92.4000015258789" hidden="0" customHeight="1">
      <x:c r="A227" s="28" t="str">
        <x:v>10.5451/unibas-006786123</x:v>
      </x:c>
      <x:c r="B227" s="29" t="str">
        <x:v>The pharmacology of d-Lysergic acid diethylamide (LSD)</x:v>
      </x:c>
      <x:c r="C227" s="29" t="str">
        <x:v>dissertation</x:v>
      </x:c>
      <x:c r="D227" s="29" t="n">
        <x:v>0</x:v>
      </x:c>
      <x:c r="E227" s="29" t="str">
        <x:v>excluded_prescreen_no_artifact_repair</x:v>
      </x:c>
      <x:c r="F227" s="29" t="str">
        <x:v>canonical prescreen excludes this record</x:v>
      </x:c>
      <x:c r="G227" s="29" t="str">
        <x:v>identity_mismatch</x:v>
      </x:c>
      <x:c r="H227" s="30" t="str">
        <x:v>https://doi.org/10.5451/unibas-006786123</x:v>
      </x:c>
    </x:row>
    <x:row r="228" ht="145.1999969482422" hidden="0" customHeight="1">
      <x:c r="A228" s="28" t="str">
        <x:v>10.5451/unibas-007055508</x:v>
      </x:c>
      <x:c r="B228" s="29" t="str">
        <x:v>Pharmacological and toxicological investigations of new psychoactive substances</x:v>
      </x:c>
      <x:c r="C228" s="29" t="str">
        <x:v>dissertation</x:v>
      </x:c>
      <x:c r="D228" s="29" t="n">
        <x:v>0</x:v>
      </x:c>
      <x:c r="E228" s="29" t="str">
        <x:v>excluded_prescreen_no_artifact_repair</x:v>
      </x:c>
      <x:c r="F228" s="29" t="str">
        <x:v>canonical prescreen excludes this record</x:v>
      </x:c>
      <x:c r="G228" s="29" t="str">
        <x:v>identity_mismatch</x:v>
      </x:c>
      <x:c r="H228" s="30" t="str">
        <x:v>https://doi.org/10.5451/unibas-007055508</x:v>
      </x:c>
    </x:row>
    <x:row r="229" ht="66" hidden="0" customHeight="1">
      <x:c r="A229" s="28" t="str">
        <x:v>10.56126/75.s1.22</x:v>
      </x:c>
      <x:c r="B229" s="29" t="str">
        <x:v>Ketamine Infusion Therapy in chronic pain</x:v>
      </x:c>
      <x:c r="C229" s="29" t="str">
        <x:v>journal-article</x:v>
      </x:c>
      <x:c r="D229" s="29" t="n">
        <x:v>0</x:v>
      </x:c>
      <x:c r="E229" s="29" t="str">
        <x:v>excluded_prescreen_no_artifact_repair</x:v>
      </x:c>
      <x:c r="F229" s="29" t="str">
        <x:v>canonical prescreen excludes this record</x:v>
      </x:c>
      <x:c r="G229" s="29" t="str">
        <x:v>unsegmented_proceedings_container</x:v>
      </x:c>
      <x:c r="H229" s="30" t="str">
        <x:v>https://doi.org/10.56126/75.s1.22</x:v>
      </x:c>
    </x:row>
    <x:row r="230" ht="79.19999694824219" hidden="0" customHeight="1">
      <x:c r="A230" s="28" t="str">
        <x:v>10.5617/jea.7047</x:v>
      </x:c>
      <x:c r="B230" s="29" t="str">
        <x:v>To the Roots: Me, My Brother, Heroin and Iboga</x:v>
      </x:c>
      <x:c r="C230" s="29" t="str">
        <x:v>article</x:v>
      </x:c>
      <x:c r="D230" s="29" t="n">
        <x:v>0</x:v>
      </x:c>
      <x:c r="E230" s="29" t="str">
        <x:v>excluded_prescreen_no_artifact_repair</x:v>
      </x:c>
      <x:c r="F230" s="29" t="str">
        <x:v>canonical prescreen excludes this record</x:v>
      </x:c>
      <x:c r="G230" s="29" t="str">
        <x:v>identity_unverified</x:v>
      </x:c>
      <x:c r="H230" s="30" t="str">
        <x:v>https://doi.org/10.5617/jea.7047</x:v>
      </x:c>
    </x:row>
    <x:row r="231" ht="250.8000030517578" hidden="0" customHeight="1">
      <x:c r="A231" s="28" t="str">
        <x:v>10.5812/anesthpain.4399</x:v>
      </x:c>
      <x:c r="B231" s="29" t="str">
        <x:v>Evaluation of a Low Dose Ketamine in Post Tonsillectomy Pain Relief: A Randomized Trial Comparing Intravenous and Subcutaneous Ketamine in Pediatrics</x:v>
      </x:c>
      <x:c r="C231" s="29" t="str">
        <x:v>primary</x:v>
      </x:c>
      <x:c r="D231" s="29" t="n">
        <x:v>0</x:v>
      </x:c>
      <x:c r="E231" s="29" t="str">
        <x:v>not_retained_no_artifact_repair</x:v>
      </x:c>
      <x:c r="F231" s="29" t="str">
        <x:v>record is not currently retained after downstream screening/routing</x:v>
      </x:c>
      <x:c r="G231" s="29" t="str">
        <x:v>identity_mismatch</x:v>
      </x:c>
      <x:c r="H231" s="30" t="str">
        <x:v>https://doi.org/10.5812/anesthpain.4399</x:v>
      </x:c>
    </x:row>
    <x:row r="232" ht="105.5999984741211" hidden="0" customHeight="1">
      <x:c r="A232" s="28" t="str">
        <x:v>10.5935/0103-507x.20220027-pt</x:v>
      </x:c>
      <x:c r="B232" s="29" t="str">
        <x:v>Uso de cetamina em pacientes críticos: uma revisão narrativa</x:v>
      </x:c>
      <x:c r="C232" s="29" t="str">
        <x:v>review</x:v>
      </x:c>
      <x:c r="D232" s="29" t="n">
        <x:v>0</x:v>
      </x:c>
      <x:c r="E232" s="29" t="str">
        <x:v>excluded_prescreen_no_artifact_repair</x:v>
      </x:c>
      <x:c r="F232" s="29" t="str">
        <x:v>canonical prescreen excludes this record</x:v>
      </x:c>
      <x:c r="G232" s="29" t="str">
        <x:v>identity_mismatch</x:v>
      </x:c>
      <x:c r="H232" s="30" t="str">
        <x:v>https://doi.org/10.5935/0103-507x.20220027-pt</x:v>
      </x:c>
    </x:row>
    <x:row r="233" ht="145.1999969482422" hidden="0" customHeight="1">
      <x:c r="A233" s="28" t="str">
        <x:v>10.7302/25030</x:v>
      </x:c>
      <x:c r="B233" s="29" t="str">
        <x:v>The Putative Role of the Medial Prefrontal Cortex in Emergence from General Anesthesia</x:v>
      </x:c>
      <x:c r="C233" s="29" t="str">
        <x:v>article</x:v>
      </x:c>
      <x:c r="D233" s="29" t="n">
        <x:v>0</x:v>
      </x:c>
      <x:c r="E233" s="29" t="str">
        <x:v>excluded_prescreen_no_artifact_repair</x:v>
      </x:c>
      <x:c r="F233" s="29" t="str">
        <x:v>canonical prescreen excludes this record</x:v>
      </x:c>
      <x:c r="G233" s="29" t="str">
        <x:v>identity_unverified</x:v>
      </x:c>
      <x:c r="H233" s="30" t="str">
        <x:v>https://doi.org/10.7302/25030</x:v>
      </x:c>
    </x:row>
    <x:row r="234" ht="132" hidden="0" customHeight="1">
      <x:c r="A234" s="31" t="str">
        <x:v>10.7302/8314</x:v>
      </x:c>
      <x:c r="B234" s="32" t="str">
        <x:v>Endogenous Biosynthesis and Neural Correlates of N,N-dimethyltryptamine</x:v>
      </x:c>
      <x:c r="C234" s="32" t="str">
        <x:v>article</x:v>
      </x:c>
      <x:c r="D234" s="32" t="n">
        <x:v>0</x:v>
      </x:c>
      <x:c r="E234" s="32" t="str">
        <x:v>excluded_prescreen_no_artifact_repair</x:v>
      </x:c>
      <x:c r="F234" s="32" t="str">
        <x:v>canonical prescreen excludes this record</x:v>
      </x:c>
      <x:c r="G234" s="32" t="str">
        <x:v>identity_unverified</x:v>
      </x:c>
      <x:c r="H234" s="33" t="str">
        <x:v>https://doi.org/10.7302/8314</x:v>
      </x:c>
    </x:row>
  </x:sheetData>
  <x:pageMargins left="0.7" right="0.7" top="0.75" bottom="0.75" header="0.3" footer="0.3"/>
  <x:tableParts count="1">
    <x:tablePart xmlns:r="http://schemas.openxmlformats.org/officeDocument/2006/relationships" r:id="Rbd76ecd8bdf14bf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58" hidden="0" customWidth="1"/>
    <x:col min="3" max="3" width="42" hidden="0" customWidth="1"/>
    <x:col min="4" max="4" width="24" hidden="0" customWidth="1"/>
    <x:col min="5" max="5" width="24" hidden="0" customWidth="1"/>
    <x:col min="6" max="6" width="55" hidden="0" customWidth="1"/>
    <x:col min="7" max="7" width="22" hidden="0" customWidth="1"/>
    <x:col min="8" max="8" width="65" hidden="0" customWidth="1"/>
  </x:cols>
  <x:sheetData>
    <x:row r="1" ht="30" customHeight="1">
      <x:c r="A1" s="43" t="str">
        <x:v>DOI</x:v>
      </x:c>
      <x:c r="B1" s="44" t="str">
        <x:v>Title</x:v>
      </x:c>
      <x:c r="C1" s="44" t="str">
        <x:v>PDF file</x:v>
      </x:c>
      <x:c r="D1" s="44" t="str">
        <x:v>Import match</x:v>
      </x:c>
      <x:c r="E1" s="44" t="str">
        <x:v>Identity status</x:v>
      </x:c>
      <x:c r="F1" s="44" t="str">
        <x:v>Identity basis</x:v>
      </x:c>
      <x:c r="G1" s="44" t="str">
        <x:v>Conversion backend</x:v>
      </x:c>
      <x:c r="H1" s="45" t="str">
        <x:v>Artifact path</x:v>
      </x:c>
    </x:row>
    <x:row r="2" ht="198" hidden="0" customHeight="1">
      <x:c r="A2" s="25" t="str">
        <x:v>10.34172/ddj.2023.437</x:v>
      </x:c>
      <x:c r="B2" s="26" t="str">
        <x:v>The Effect of Intravenous Ketamine on Suicidal Ideation in Depressed Patients: A Randomized Clinical Trial</x:v>
      </x:c>
      <x:c r="C2" s="26" t="str">
        <x:v>10.34172_ddj.2023.437__1118e5eb68.pdf</x:v>
      </x:c>
      <x:c r="D2" s="26" t="str">
        <x:v>pdf_text_doi</x:v>
      </x:c>
      <x:c r="E2" s="26" t="str">
        <x:v>verified_exact_doi</x:v>
      </x:c>
      <x:c r="F2" s="26" t="str">
        <x:v>document identifier matches requested DOI</x:v>
      </x:c>
      <x:c r="G2" s="26" t="str">
        <x:v>grobid</x:v>
      </x:c>
      <x:c r="H2" s="27" t="str">
        <x:v>/Users/frank/Library/CloudStorage/Dropbox/projects/psychedelics_knowledge_graph/data/processed/fulltext/articles/10_34172_ddj_2023_437.json</x:v>
      </x:c>
    </x:row>
    <x:row r="3" ht="211.1999969482422" hidden="0" customHeight="1">
      <x:c r="A3" s="28" t="str">
        <x:v>10.1523/jneurosci.07-03-00894.1987</x:v>
      </x:c>
      <x:c r="B3" s="29" t="str">
        <x:v>Characterization of a novel 3H-5-hydroxytryptamine binding site subtype in bovine brain membranes</x:v>
      </x:c>
      <x:c r="C3" s="29" t="str">
        <x:v>10.1523_jneurosci.07-03-00894.1987__01d0435f7d.pdf</x:v>
      </x:c>
      <x:c r="D3" s="29" t="str">
        <x:v>title_match</x:v>
      </x:c>
      <x:c r="E3" s="29" t="str">
        <x:v>verified_title_only</x:v>
      </x:c>
      <x:c r="F3" s="29" t="str">
        <x:v>requested title matches the bounded top region of PDF page one</x:v>
      </x:c>
      <x:c r="G3" s="29" t="str">
        <x:v>grobid</x:v>
      </x:c>
      <x:c r="H3" s="30" t="str">
        <x:v>/Users/frank/Library/CloudStorage/Dropbox/projects/psychedelics_knowledge_graph/data/processed/fulltext/articles/10_1523_jneurosci_07_03_00894_1987.json</x:v>
      </x:c>
    </x:row>
    <x:row r="4" ht="198" hidden="0" customHeight="1">
      <x:c r="A4" s="31" t="str">
        <x:v>10.1124/pr.115.011478</x:v>
      </x:c>
      <x:c r="B4" s="32" t="str">
        <x:v>Psychedelics</x:v>
      </x:c>
      <x:c r="C4" s="32" t="str">
        <x:v>10.1124_pr.115.011478__73d6cba334.pdf</x:v>
      </x:c>
      <x:c r="D4" s="32" t="str">
        <x:v>pdf_text_doi</x:v>
      </x:c>
      <x:c r="E4" s="32" t="str">
        <x:v>verified_exact_doi</x:v>
      </x:c>
      <x:c r="F4" s="32" t="str">
        <x:v>document identifier matches requested DOI</x:v>
      </x:c>
      <x:c r="G4" s="32" t="str">
        <x:v>grobid</x:v>
      </x:c>
      <x:c r="H4" s="33" t="str">
        <x:v>/Users/frank/Library/CloudStorage/Dropbox/projects/psychedelics_knowledge_graph/data/processed/fulltext/articles/10_1124_pr_115_011478.json</x:v>
      </x:c>
    </x:row>
  </x:sheetData>
  <x:pageMargins left="0.7" right="0.7" top="0.75" bottom="0.75" header="0.3" footer="0.3"/>
  <x:tableParts count="1">
    <x:tablePart xmlns:r="http://schemas.openxmlformats.org/officeDocument/2006/relationships" r:id="R949e16d2f5de4b20"/>
  </x:tableParts>
</x:worksheet>
</file>